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dashboard\"/>
    </mc:Choice>
  </mc:AlternateContent>
  <xr:revisionPtr revIDLastSave="0" documentId="8_{256CD3E0-4884-4A48-9B68-C405F278C6A4}" xr6:coauthVersionLast="36" xr6:coauthVersionMax="36" xr10:uidLastSave="{00000000-0000-0000-0000-000000000000}"/>
  <bookViews>
    <workbookView xWindow="0" yWindow="0" windowWidth="20490" windowHeight="10245" xr2:uid="{00000000-000D-0000-FFFF-FFFF00000000}"/>
  </bookViews>
  <sheets>
    <sheet name="Data_20240930" sheetId="1" r:id="rId1"/>
  </sheets>
  <calcPr calcId="191029"/>
</workbook>
</file>

<file path=xl/calcChain.xml><?xml version="1.0" encoding="utf-8"?>
<calcChain xmlns="http://schemas.openxmlformats.org/spreadsheetml/2006/main">
  <c r="V71" i="1" l="1"/>
  <c r="V72" i="1" l="1"/>
  <c r="V73" i="1" l="1"/>
  <c r="V7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1</author>
  </authors>
  <commentList>
    <comment ref="I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KIS </t>
        </r>
        <r>
          <rPr>
            <b/>
            <sz val="9"/>
            <color indexed="81"/>
            <rFont val="돋움"/>
            <family val="3"/>
            <charset val="129"/>
          </rPr>
          <t>채권지수의</t>
        </r>
        <r>
          <rPr>
            <b/>
            <sz val="9"/>
            <color indexed="81"/>
            <rFont val="Tahoma"/>
            <family val="2"/>
          </rPr>
          <t xml:space="preserve"> YTM from </t>
        </r>
        <r>
          <rPr>
            <b/>
            <sz val="9"/>
            <color indexed="81"/>
            <rFont val="돋움"/>
            <family val="3"/>
            <charset val="129"/>
          </rPr>
          <t>인포맥스</t>
        </r>
      </text>
    </comment>
    <comment ref="J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 xml:space="preserve">KIS </t>
        </r>
        <r>
          <rPr>
            <b/>
            <sz val="9"/>
            <color indexed="81"/>
            <rFont val="돋움"/>
            <family val="3"/>
            <charset val="129"/>
          </rPr>
          <t>채권지수의</t>
        </r>
        <r>
          <rPr>
            <b/>
            <sz val="9"/>
            <color indexed="81"/>
            <rFont val="Tahoma"/>
            <family val="2"/>
          </rPr>
          <t xml:space="preserve"> coupon</t>
        </r>
        <r>
          <rPr>
            <b/>
            <sz val="9"/>
            <color indexed="81"/>
            <rFont val="돋움"/>
            <family val="3"/>
            <charset val="129"/>
          </rPr>
          <t>금리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1" authorId="0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2019.04~ ICE BofA GBMI 사용(인포맥스)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 xml:space="preserve">KOSPI </t>
        </r>
        <r>
          <rPr>
            <b/>
            <sz val="9"/>
            <color indexed="81"/>
            <rFont val="돋움"/>
            <family val="3"/>
            <charset val="129"/>
          </rPr>
          <t>현재</t>
        </r>
        <r>
          <rPr>
            <b/>
            <sz val="9"/>
            <color indexed="81"/>
            <rFont val="Tahoma"/>
            <family val="2"/>
          </rPr>
          <t xml:space="preserve"> EPS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PER from </t>
        </r>
        <r>
          <rPr>
            <b/>
            <sz val="9"/>
            <color indexed="81"/>
            <rFont val="돋움"/>
            <family val="3"/>
            <charset val="129"/>
          </rPr>
          <t>인포맥스</t>
        </r>
        <r>
          <rPr>
            <b/>
            <sz val="9"/>
            <color indexed="81"/>
            <rFont val="Tahoma"/>
            <family val="2"/>
          </rPr>
          <t>. 'KOSPIMSCI(</t>
        </r>
        <r>
          <rPr>
            <b/>
            <sz val="9"/>
            <color indexed="81"/>
            <rFont val="돋움"/>
            <family val="3"/>
            <charset val="129"/>
          </rPr>
          <t>인포맥스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>의</t>
        </r>
        <r>
          <rPr>
            <b/>
            <sz val="9"/>
            <color indexed="81"/>
            <rFont val="Tahoma"/>
            <family val="2"/>
          </rPr>
          <t xml:space="preserve"> sheet 'PERPBM_M'</t>
        </r>
        <r>
          <rPr>
            <b/>
            <sz val="9"/>
            <color indexed="81"/>
            <rFont val="돋움"/>
            <family val="3"/>
            <charset val="129"/>
          </rPr>
          <t>참조</t>
        </r>
      </text>
    </comment>
    <comment ref="P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MSCI ACWI (</t>
        </r>
        <r>
          <rPr>
            <b/>
            <sz val="9"/>
            <color indexed="81"/>
            <rFont val="돋움"/>
            <family val="3"/>
            <charset val="129"/>
          </rPr>
          <t>전체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또는</t>
        </r>
        <r>
          <rPr>
            <b/>
            <sz val="9"/>
            <color indexed="81"/>
            <rFont val="Tahoma"/>
            <family val="2"/>
          </rPr>
          <t xml:space="preserve"> ex Korea </t>
        </r>
        <r>
          <rPr>
            <b/>
            <sz val="9"/>
            <color indexed="81"/>
            <rFont val="돋움"/>
            <family val="3"/>
            <charset val="129"/>
          </rPr>
          <t>무방</t>
        </r>
        <r>
          <rPr>
            <b/>
            <sz val="9"/>
            <color indexed="81"/>
            <rFont val="Tahoma"/>
            <family val="2"/>
          </rPr>
          <t xml:space="preserve">) from </t>
        </r>
        <r>
          <rPr>
            <b/>
            <sz val="9"/>
            <color indexed="81"/>
            <rFont val="돋움"/>
            <family val="3"/>
            <charset val="129"/>
          </rPr>
          <t>인포맥스</t>
        </r>
      </text>
    </comment>
    <comment ref="T1" authorId="0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국내상업용부동산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오피스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전국</t>
        </r>
        <r>
          <rPr>
            <b/>
            <sz val="9"/>
            <color indexed="81"/>
            <rFont val="Tahoma"/>
            <family val="2"/>
          </rPr>
          <t xml:space="preserve">) </t>
        </r>
        <r>
          <rPr>
            <b/>
            <sz val="9"/>
            <color indexed="81"/>
            <rFont val="돋움"/>
            <family val="3"/>
            <charset val="129"/>
          </rPr>
          <t>투자수익률</t>
        </r>
        <r>
          <rPr>
            <b/>
            <sz val="9"/>
            <color indexed="81"/>
            <rFont val="Tahoma"/>
            <family val="2"/>
          </rPr>
          <t xml:space="preserve"> from </t>
        </r>
        <r>
          <rPr>
            <b/>
            <sz val="9"/>
            <color indexed="81"/>
            <rFont val="돋움"/>
            <family val="3"/>
            <charset val="129"/>
          </rPr>
          <t>한국부동산원</t>
        </r>
        <r>
          <rPr>
            <b/>
            <sz val="9"/>
            <color indexed="81"/>
            <rFont val="Tahoma"/>
            <family val="2"/>
          </rPr>
          <t xml:space="preserve">  '</t>
        </r>
        <r>
          <rPr>
            <b/>
            <sz val="9"/>
            <color indexed="81"/>
            <rFont val="돋움"/>
            <family val="3"/>
            <charset val="129"/>
          </rPr>
          <t>상업용부동산임대동향조사</t>
        </r>
        <r>
          <rPr>
            <b/>
            <sz val="9"/>
            <color indexed="81"/>
            <rFont val="Tahoma"/>
            <family val="2"/>
          </rPr>
          <t xml:space="preserve">'
</t>
        </r>
        <r>
          <rPr>
            <b/>
            <sz val="9"/>
            <color indexed="81"/>
            <rFont val="돋움"/>
            <family val="3"/>
            <charset val="129"/>
          </rPr>
          <t>분기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수익률로</t>
        </r>
        <r>
          <rPr>
            <b/>
            <sz val="9"/>
            <color indexed="81"/>
            <rFont val="Tahoma"/>
            <family val="2"/>
          </rPr>
          <t xml:space="preserve"> (1+i)^4-1</t>
        </r>
        <r>
          <rPr>
            <b/>
            <sz val="9"/>
            <color indexed="81"/>
            <rFont val="돋움"/>
            <family val="3"/>
            <charset val="129"/>
          </rPr>
          <t>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환산</t>
        </r>
      </text>
    </comment>
    <comment ref="U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소비자심리지수</t>
        </r>
        <r>
          <rPr>
            <b/>
            <sz val="9"/>
            <color indexed="81"/>
            <rFont val="Tahoma"/>
            <family val="2"/>
          </rPr>
          <t xml:space="preserve"> from  </t>
        </r>
        <r>
          <rPr>
            <b/>
            <sz val="9"/>
            <color indexed="81"/>
            <rFont val="돋움"/>
            <family val="3"/>
            <charset val="129"/>
          </rPr>
          <t>한국은행</t>
        </r>
        <r>
          <rPr>
            <b/>
            <sz val="9"/>
            <color indexed="81"/>
            <rFont val="Tahoma"/>
            <family val="2"/>
          </rPr>
          <t xml:space="preserve"> "</t>
        </r>
        <r>
          <rPr>
            <b/>
            <sz val="9"/>
            <color indexed="81"/>
            <rFont val="돋움"/>
            <family val="3"/>
            <charset val="129"/>
          </rPr>
          <t>소비자동향조사</t>
        </r>
        <r>
          <rPr>
            <b/>
            <sz val="9"/>
            <color indexed="81"/>
            <rFont val="Tahoma"/>
            <family val="2"/>
          </rPr>
          <t xml:space="preserve">". </t>
        </r>
        <r>
          <rPr>
            <b/>
            <sz val="9"/>
            <color indexed="81"/>
            <rFont val="돋움"/>
            <family val="3"/>
            <charset val="129"/>
          </rPr>
          <t>인포맥스에는</t>
        </r>
        <r>
          <rPr>
            <b/>
            <sz val="9"/>
            <color indexed="81"/>
            <rFont val="Tahoma"/>
            <family val="2"/>
          </rPr>
          <t xml:space="preserve"> '</t>
        </r>
        <r>
          <rPr>
            <b/>
            <sz val="9"/>
            <color indexed="81"/>
            <rFont val="돋움"/>
            <family val="3"/>
            <charset val="129"/>
          </rPr>
          <t>소비자동향지수</t>
        </r>
        <r>
          <rPr>
            <b/>
            <sz val="9"/>
            <color indexed="81"/>
            <rFont val="Tahoma"/>
            <family val="2"/>
          </rPr>
          <t>'</t>
        </r>
        <r>
          <rPr>
            <b/>
            <sz val="9"/>
            <color indexed="81"/>
            <rFont val="돋움"/>
            <family val="3"/>
            <charset val="129"/>
          </rPr>
          <t>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있음경기선행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동행지지수로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무방
인경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인포맥스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경기동행지수로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</t>
        </r>
      </text>
    </comment>
    <comment ref="V1" authorId="0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협약임금인상률</t>
        </r>
        <r>
          <rPr>
            <b/>
            <sz val="9"/>
            <color indexed="81"/>
            <rFont val="Tahoma"/>
            <family val="2"/>
          </rPr>
          <t xml:space="preserve"> from </t>
        </r>
        <r>
          <rPr>
            <b/>
            <sz val="9"/>
            <color indexed="81"/>
            <rFont val="돋움"/>
            <family val="3"/>
            <charset val="129"/>
          </rPr>
          <t>고용부</t>
        </r>
        <r>
          <rPr>
            <b/>
            <sz val="9"/>
            <color indexed="81"/>
            <rFont val="Tahoma"/>
            <family val="2"/>
          </rPr>
          <t xml:space="preserve"> '</t>
        </r>
        <r>
          <rPr>
            <b/>
            <sz val="9"/>
            <color indexed="81"/>
            <rFont val="돋움"/>
            <family val="3"/>
            <charset val="129"/>
          </rPr>
          <t>임금결정현황조사</t>
        </r>
        <r>
          <rPr>
            <b/>
            <sz val="9"/>
            <color indexed="81"/>
            <rFont val="Tahoma"/>
            <family val="2"/>
          </rPr>
          <t xml:space="preserve">'. </t>
        </r>
        <r>
          <rPr>
            <b/>
            <sz val="9"/>
            <color indexed="81"/>
            <rFont val="돋움"/>
            <family val="3"/>
            <charset val="129"/>
          </rPr>
          <t>전체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임금총액기준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인상률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1" authorId="0" shapeId="0" xr:uid="{2DDEB4E2-41E2-4B0E-B4EB-E90B3CF71FA9}">
      <text>
        <r>
          <rPr>
            <b/>
            <sz val="9"/>
            <color indexed="81"/>
            <rFont val="Tahoma"/>
            <family val="2"/>
          </rPr>
          <t>MSCI ACWI (</t>
        </r>
        <r>
          <rPr>
            <b/>
            <sz val="9"/>
            <color indexed="81"/>
            <rFont val="돋움"/>
            <family val="3"/>
            <charset val="129"/>
          </rPr>
          <t>전체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또는</t>
        </r>
        <r>
          <rPr>
            <b/>
            <sz val="9"/>
            <color indexed="81"/>
            <rFont val="Tahoma"/>
            <family val="2"/>
          </rPr>
          <t xml:space="preserve"> ex Korea </t>
        </r>
        <r>
          <rPr>
            <b/>
            <sz val="9"/>
            <color indexed="81"/>
            <rFont val="돋움"/>
            <family val="3"/>
            <charset val="129"/>
          </rPr>
          <t>무방</t>
        </r>
        <r>
          <rPr>
            <b/>
            <sz val="9"/>
            <color indexed="81"/>
            <rFont val="Tahoma"/>
            <family val="2"/>
          </rPr>
          <t xml:space="preserve">) from </t>
        </r>
        <r>
          <rPr>
            <b/>
            <sz val="9"/>
            <color indexed="81"/>
            <rFont val="돋움"/>
            <family val="3"/>
            <charset val="129"/>
          </rPr>
          <t>인포맥스</t>
        </r>
      </text>
    </comment>
  </commentList>
</comments>
</file>

<file path=xl/sharedStrings.xml><?xml version="1.0" encoding="utf-8"?>
<sst xmlns="http://schemas.openxmlformats.org/spreadsheetml/2006/main" count="31" uniqueCount="31">
  <si>
    <t>Date</t>
  </si>
  <si>
    <t>Deposit_1Y</t>
  </si>
  <si>
    <t>G_Bond_1Y</t>
  </si>
  <si>
    <t>G_Bond_3Y</t>
  </si>
  <si>
    <t>G_Bond_5Y</t>
  </si>
  <si>
    <t>G_Bond_10Y</t>
  </si>
  <si>
    <t>KIS_total</t>
  </si>
  <si>
    <t>KIS_IR_2Y</t>
  </si>
  <si>
    <t>KIS_CY_3Y</t>
  </si>
  <si>
    <t>KIS_IR_3Y</t>
  </si>
  <si>
    <t>Barclays</t>
  </si>
  <si>
    <t>KOSPI</t>
  </si>
  <si>
    <t>KOSPI_PER</t>
  </si>
  <si>
    <t>CPI_Korea</t>
  </si>
  <si>
    <t>Real_Estate</t>
  </si>
  <si>
    <t>CCI</t>
  </si>
  <si>
    <t>Wage_rate</t>
  </si>
  <si>
    <t>Discount_rate</t>
  </si>
  <si>
    <t>T_Bond_1Y</t>
  </si>
  <si>
    <t>MSCI_PER</t>
  </si>
  <si>
    <t>CPI_OECD</t>
  </si>
  <si>
    <t>MSCI_ACWI</t>
    <phoneticPr fontId="18" type="noConversion"/>
  </si>
  <si>
    <t>KOSPI_index</t>
    <phoneticPr fontId="18" type="noConversion"/>
  </si>
  <si>
    <t>KIS_total_index</t>
    <phoneticPr fontId="18" type="noConversion"/>
  </si>
  <si>
    <t>MSCI_ACWI_index</t>
    <phoneticPr fontId="18" type="noConversion"/>
  </si>
  <si>
    <t>ICE_GBMI_index</t>
    <phoneticPr fontId="18" type="noConversion"/>
  </si>
  <si>
    <t>ICE_USCI_3Y</t>
    <phoneticPr fontId="18" type="noConversion"/>
  </si>
  <si>
    <t>ICE_USCI_5Y</t>
    <phoneticPr fontId="18" type="noConversion"/>
  </si>
  <si>
    <t>ICE_GBMI</t>
    <phoneticPr fontId="18" type="noConversion"/>
  </si>
  <si>
    <t>ICE_GCI</t>
    <phoneticPr fontId="18" type="noConversion"/>
  </si>
  <si>
    <t>ICE_GGI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</si>
</sst>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"/>
  </numFmts>
  <fonts count="2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8"/>
      <color theme="1"/>
      <name val="Times New Roman"/>
      <family val="1"/>
    </font>
    <font>
      <sz val="8"/>
      <color rgb="FFFF0000"/>
      <name val="Times New Roman"/>
      <family val="1"/>
    </font>
    <font>
      <sz val="8"/>
      <name val="Times New Roman"/>
      <family val="1"/>
    </font>
    <font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25" fillId="0" borderId="0"/>
  </cellStyleXfs>
  <cellXfs count="11">
    <xf numFmtId="0" fontId="0" fillId="0" borderId="0" xfId="0">
      <alignment vertical="center"/>
    </xf>
    <xf numFmtId="0" fontId="22" fillId="0" borderId="0" xfId="0" applyFont="1">
      <alignment vertical="center"/>
    </xf>
    <xf numFmtId="0" fontId="22" fillId="0" borderId="0" xfId="0" applyFont="1" applyFill="1">
      <alignment vertical="center"/>
    </xf>
    <xf numFmtId="14" fontId="22" fillId="0" borderId="0" xfId="0" applyNumberFormat="1" applyFont="1" applyFill="1">
      <alignment vertical="center"/>
    </xf>
    <xf numFmtId="176" fontId="22" fillId="0" borderId="0" xfId="0" applyNumberFormat="1" applyFont="1" applyFill="1">
      <alignment vertical="center"/>
    </xf>
    <xf numFmtId="176" fontId="22" fillId="0" borderId="0" xfId="0" applyNumberFormat="1" applyFont="1">
      <alignment vertical="center"/>
    </xf>
    <xf numFmtId="0" fontId="22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3" fillId="0" borderId="0" xfId="0" applyFont="1">
      <alignment vertical="center"/>
    </xf>
    <xf numFmtId="176" fontId="22" fillId="33" borderId="0" xfId="0" applyNumberFormat="1" applyFont="1" applyFill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  <cellStyle name="표준 2" xfId="42" xr:uid="{00000000-0005-0000-0000-00002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74"/>
  <sheetViews>
    <sheetView showGridLines="0" tabSelected="1" workbookViewId="0">
      <pane xSplit="1" ySplit="1" topLeftCell="H2" activePane="bottomRight" state="frozen"/>
      <selection pane="topRight" activeCell="B1" sqref="B1"/>
      <selection pane="bottomLeft" activeCell="A2" sqref="A2"/>
      <selection pane="bottomRight" activeCell="Z2" sqref="Z2"/>
    </sheetView>
  </sheetViews>
  <sheetFormatPr defaultRowHeight="11.25" x14ac:dyDescent="0.3"/>
  <cols>
    <col min="1" max="2" width="8.5" style="1" bestFit="1" customWidth="1"/>
    <col min="3" max="5" width="8.625" style="1" bestFit="1" customWidth="1"/>
    <col min="6" max="6" width="9.375" style="1" bestFit="1" customWidth="1"/>
    <col min="7" max="7" width="9.625" style="1" bestFit="1" customWidth="1"/>
    <col min="8" max="8" width="7.125" style="1" bestFit="1" customWidth="1"/>
    <col min="9" max="9" width="8.25" style="1" bestFit="1" customWidth="1"/>
    <col min="10" max="10" width="8.75" style="1" bestFit="1" customWidth="1"/>
    <col min="11" max="11" width="8.25" style="1" bestFit="1" customWidth="1"/>
    <col min="12" max="13" width="6.875" style="1" bestFit="1" customWidth="1"/>
    <col min="14" max="14" width="8.875" style="1" bestFit="1" customWidth="1"/>
    <col min="15" max="15" width="8.75" style="1" bestFit="1" customWidth="1"/>
    <col min="16" max="16" width="9.25" style="1" bestFit="1" customWidth="1"/>
    <col min="17" max="17" width="8.125" style="1" bestFit="1" customWidth="1"/>
    <col min="18" max="18" width="8" style="1" bestFit="1" customWidth="1"/>
    <col min="19" max="19" width="8.25" style="1" bestFit="1" customWidth="1"/>
    <col min="20" max="20" width="8.375" style="1" bestFit="1" customWidth="1"/>
    <col min="21" max="21" width="7.875" style="1" bestFit="1" customWidth="1"/>
    <col min="22" max="22" width="7.75" style="1" bestFit="1" customWidth="1"/>
    <col min="23" max="23" width="11.125" style="1" bestFit="1" customWidth="1"/>
    <col min="24" max="24" width="9.375" style="1" bestFit="1" customWidth="1"/>
    <col min="25" max="25" width="13.5" style="1" bestFit="1" customWidth="1"/>
    <col min="26" max="26" width="12.125" style="1" bestFit="1" customWidth="1"/>
    <col min="27" max="27" width="12.25" style="1" bestFit="1" customWidth="1"/>
    <col min="28" max="29" width="10.875" style="1" bestFit="1" customWidth="1"/>
    <col min="30" max="31" width="10" style="1" bestFit="1" customWidth="1"/>
    <col min="32" max="16384" width="9" style="1"/>
  </cols>
  <sheetData>
    <row r="1" spans="1:31" x14ac:dyDescent="0.3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8" t="s">
        <v>17</v>
      </c>
      <c r="H1" s="7" t="s">
        <v>6</v>
      </c>
      <c r="I1" s="7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6" t="s">
        <v>12</v>
      </c>
      <c r="O1" s="6" t="s">
        <v>18</v>
      </c>
      <c r="P1" s="7" t="s">
        <v>21</v>
      </c>
      <c r="Q1" s="8" t="s">
        <v>19</v>
      </c>
      <c r="R1" s="6" t="s">
        <v>13</v>
      </c>
      <c r="S1" s="6" t="s">
        <v>20</v>
      </c>
      <c r="T1" s="7" t="s">
        <v>14</v>
      </c>
      <c r="U1" s="7" t="s">
        <v>15</v>
      </c>
      <c r="V1" s="7" t="s">
        <v>16</v>
      </c>
      <c r="W1" s="7" t="s">
        <v>23</v>
      </c>
      <c r="X1" s="7" t="s">
        <v>22</v>
      </c>
      <c r="Y1" s="7" t="s">
        <v>24</v>
      </c>
      <c r="Z1" s="9" t="s">
        <v>25</v>
      </c>
      <c r="AA1" s="9" t="s">
        <v>28</v>
      </c>
      <c r="AB1" s="9" t="s">
        <v>29</v>
      </c>
      <c r="AC1" s="9" t="s">
        <v>30</v>
      </c>
      <c r="AD1" s="9" t="s">
        <v>26</v>
      </c>
      <c r="AE1" s="9" t="s">
        <v>27</v>
      </c>
    </row>
    <row r="2" spans="1:31" x14ac:dyDescent="0.3">
      <c r="A2" s="3">
        <v>43585</v>
      </c>
      <c r="B2" s="4">
        <v>1.9900000000000001E-2</v>
      </c>
      <c r="C2" s="4">
        <v>1.7350000000000001E-2</v>
      </c>
      <c r="D2" s="4">
        <v>1.695E-2</v>
      </c>
      <c r="E2" s="4">
        <v>1.7270000000000001E-2</v>
      </c>
      <c r="F2" s="4">
        <v>1.8450000000000001E-2</v>
      </c>
      <c r="G2" s="4">
        <v>2.1752499999999998E-2</v>
      </c>
      <c r="H2" s="4">
        <v>1.8364999999999999E-2</v>
      </c>
      <c r="I2" s="4">
        <v>1.8179000000000001E-2</v>
      </c>
      <c r="J2" s="4">
        <v>2.4622999999999999E-2</v>
      </c>
      <c r="K2" s="4">
        <v>1.8272999999999998E-2</v>
      </c>
      <c r="L2" s="4">
        <v>-2.9610170551149784E-3</v>
      </c>
      <c r="M2" s="4">
        <v>2.9392666781895338E-2</v>
      </c>
      <c r="N2" s="4">
        <v>10.62</v>
      </c>
      <c r="O2" s="4">
        <v>1.2721439306064841E-3</v>
      </c>
      <c r="P2" s="4">
        <v>3.2044172821444672E-2</v>
      </c>
      <c r="Q2" s="4">
        <v>15.786099999999999</v>
      </c>
      <c r="R2" s="4">
        <v>5.5594299999999998E-3</v>
      </c>
      <c r="S2" s="4">
        <v>2.4850479999999998E-2</v>
      </c>
      <c r="T2" s="4">
        <v>7.5535924531235032E-2</v>
      </c>
      <c r="U2" s="4">
        <v>102.7</v>
      </c>
      <c r="V2" s="5">
        <v>4.7E-2</v>
      </c>
      <c r="W2" s="4">
        <v>252.98150999999999</v>
      </c>
      <c r="X2" s="4">
        <v>2203.59</v>
      </c>
      <c r="Y2" s="4">
        <v>524.84400000000005</v>
      </c>
      <c r="Z2" s="5">
        <v>308.42700000000002</v>
      </c>
      <c r="AA2" s="5">
        <v>1.7899999999999999E-2</v>
      </c>
      <c r="AB2" s="5">
        <v>2.8300000000000002E-2</v>
      </c>
      <c r="AC2" s="5">
        <v>1.1599999999999999E-2</v>
      </c>
      <c r="AD2" s="5">
        <v>2.8900000000000002E-2</v>
      </c>
      <c r="AE2" s="5">
        <v>3.1800000000000002E-2</v>
      </c>
    </row>
    <row r="3" spans="1:31" x14ac:dyDescent="0.3">
      <c r="A3" s="3">
        <v>43616</v>
      </c>
      <c r="B3" s="4">
        <v>1.9699999999999999E-2</v>
      </c>
      <c r="C3" s="4">
        <v>1.5910000000000001E-2</v>
      </c>
      <c r="D3" s="4">
        <v>1.5700000000000002E-2</v>
      </c>
      <c r="E3" s="4">
        <v>1.5900000000000001E-2</v>
      </c>
      <c r="F3" s="4">
        <v>1.669E-2</v>
      </c>
      <c r="G3" s="4">
        <v>2.1713333333333331E-2</v>
      </c>
      <c r="H3" s="4">
        <v>1.7000000000000001E-2</v>
      </c>
      <c r="I3" s="4">
        <v>1.6948000000000001E-2</v>
      </c>
      <c r="J3" s="4">
        <v>2.4369999999999999E-2</v>
      </c>
      <c r="K3" s="4">
        <v>1.7025999999999999E-2</v>
      </c>
      <c r="L3" s="4">
        <v>1.3541295901382533E-2</v>
      </c>
      <c r="M3" s="4">
        <v>-7.3448327501940081E-2</v>
      </c>
      <c r="N3" s="4">
        <v>9.8699999999999992</v>
      </c>
      <c r="O3" s="4">
        <v>9.8819079702703316E-3</v>
      </c>
      <c r="P3" s="4">
        <v>-6.2359482055620363E-2</v>
      </c>
      <c r="Q3" s="4">
        <v>15.049799999999999</v>
      </c>
      <c r="R3" s="4">
        <v>6.7994220000000003E-3</v>
      </c>
      <c r="S3" s="4">
        <v>2.265265E-2</v>
      </c>
      <c r="T3" s="4">
        <v>7.5535924531235032E-2</v>
      </c>
      <c r="U3" s="4">
        <v>98.9</v>
      </c>
      <c r="V3" s="5">
        <v>4.7E-2</v>
      </c>
      <c r="W3" s="4">
        <v>255.48145</v>
      </c>
      <c r="X3" s="4">
        <v>2041.74</v>
      </c>
      <c r="Y3" s="4">
        <v>492.11500000000001</v>
      </c>
      <c r="Z3" s="4">
        <v>313.08300000000003</v>
      </c>
      <c r="AA3" s="5">
        <v>1.6200000000000003E-2</v>
      </c>
      <c r="AB3" s="5">
        <v>2.7300000000000001E-2</v>
      </c>
      <c r="AC3" s="5">
        <v>9.7999999999999997E-3</v>
      </c>
      <c r="AD3" s="5">
        <v>2.7099999999999999E-2</v>
      </c>
      <c r="AE3" s="5">
        <v>3.0099999999999998E-2</v>
      </c>
    </row>
    <row r="4" spans="1:31" x14ac:dyDescent="0.3">
      <c r="A4" s="3">
        <v>43646</v>
      </c>
      <c r="B4" s="4">
        <v>1.9E-2</v>
      </c>
      <c r="C4" s="4">
        <v>1.5069999999999998E-2</v>
      </c>
      <c r="D4" s="4">
        <v>1.4650000000000002E-2</v>
      </c>
      <c r="E4" s="4">
        <v>1.5049999999999999E-2</v>
      </c>
      <c r="F4" s="4">
        <v>1.5949999999999999E-2</v>
      </c>
      <c r="G4" s="4">
        <v>2.1749444444444443E-2</v>
      </c>
      <c r="H4" s="4">
        <v>1.6268999999999999E-2</v>
      </c>
      <c r="I4" s="4">
        <v>1.6161999999999999E-2</v>
      </c>
      <c r="J4" s="4">
        <v>2.3326E-2</v>
      </c>
      <c r="K4" s="4">
        <v>1.6558E-2</v>
      </c>
      <c r="L4" s="4">
        <v>2.2171601911126881E-2</v>
      </c>
      <c r="M4" s="4">
        <v>4.3531497644166084E-2</v>
      </c>
      <c r="N4" s="4">
        <v>10.31</v>
      </c>
      <c r="O4" s="4">
        <v>5.4009400682515363E-3</v>
      </c>
      <c r="P4" s="4">
        <v>6.3657884843989709E-2</v>
      </c>
      <c r="Q4" s="4">
        <v>16.020700000000001</v>
      </c>
      <c r="R4" s="4">
        <v>7.2080099999999999E-3</v>
      </c>
      <c r="S4" s="4">
        <v>2.084095E-2</v>
      </c>
      <c r="T4" s="4">
        <v>7.5535924531235032E-2</v>
      </c>
      <c r="U4" s="4">
        <v>98.6</v>
      </c>
      <c r="V4" s="5">
        <v>4.5999999999999999E-2</v>
      </c>
      <c r="W4" s="4">
        <v>256.86129</v>
      </c>
      <c r="X4" s="4">
        <v>2130.62</v>
      </c>
      <c r="Y4" s="4">
        <v>523.44200000000001</v>
      </c>
      <c r="Z4" s="4">
        <v>317.476</v>
      </c>
      <c r="AA4" s="5">
        <v>1.44E-2</v>
      </c>
      <c r="AB4" s="5">
        <v>2.46E-2</v>
      </c>
      <c r="AC4" s="5">
        <v>8.3999999999999995E-3</v>
      </c>
      <c r="AD4" s="5">
        <v>2.46E-2</v>
      </c>
      <c r="AE4" s="5">
        <v>2.7200000000000002E-2</v>
      </c>
    </row>
    <row r="5" spans="1:31" x14ac:dyDescent="0.3">
      <c r="A5" s="3">
        <v>43677</v>
      </c>
      <c r="B5" s="4">
        <v>1.8100000000000002E-2</v>
      </c>
      <c r="C5" s="4">
        <v>1.2840000000000001E-2</v>
      </c>
      <c r="D5" s="4">
        <v>1.2880000000000001E-2</v>
      </c>
      <c r="E5" s="4">
        <v>1.32E-2</v>
      </c>
      <c r="F5" s="4">
        <v>1.3849999999999999E-2</v>
      </c>
      <c r="G5" s="4">
        <v>2.1750277777777778E-2</v>
      </c>
      <c r="H5" s="4">
        <v>1.4113000000000001E-2</v>
      </c>
      <c r="I5" s="4">
        <v>1.397E-2</v>
      </c>
      <c r="J5" s="4">
        <v>2.3140000000000001E-2</v>
      </c>
      <c r="K5" s="4">
        <v>1.4574E-2</v>
      </c>
      <c r="L5" s="4">
        <v>-2.7787573896966844E-3</v>
      </c>
      <c r="M5" s="4">
        <v>-4.9783631055749018E-2</v>
      </c>
      <c r="N5" s="4">
        <v>9.81</v>
      </c>
      <c r="O5" s="4">
        <v>1.4179871167041336E-2</v>
      </c>
      <c r="P5" s="4">
        <v>1.7346716541661866E-3</v>
      </c>
      <c r="Q5" s="4">
        <v>16.198499999999999</v>
      </c>
      <c r="R5" s="4">
        <v>6.0553809999999994E-3</v>
      </c>
      <c r="S5" s="4">
        <v>2.158467E-2</v>
      </c>
      <c r="T5" s="4">
        <v>7.5074928985681799E-2</v>
      </c>
      <c r="U5" s="4">
        <v>97</v>
      </c>
      <c r="V5" s="5">
        <v>4.4999999999999998E-2</v>
      </c>
      <c r="W5" s="4">
        <v>260.50355000000002</v>
      </c>
      <c r="X5" s="4">
        <v>2024.55</v>
      </c>
      <c r="Y5" s="4">
        <v>524.35</v>
      </c>
      <c r="Z5" s="4">
        <v>319.81</v>
      </c>
      <c r="AA5" s="5">
        <v>1.4199999999999999E-2</v>
      </c>
      <c r="AB5" s="5">
        <v>2.4E-2</v>
      </c>
      <c r="AC5" s="5">
        <v>8.3000000000000001E-3</v>
      </c>
      <c r="AD5" s="5">
        <v>2.5099999999999997E-2</v>
      </c>
      <c r="AE5" s="5">
        <v>2.7400000000000001E-2</v>
      </c>
    </row>
    <row r="6" spans="1:31" x14ac:dyDescent="0.3">
      <c r="A6" s="3">
        <v>43708</v>
      </c>
      <c r="B6" s="4">
        <v>1.61E-2</v>
      </c>
      <c r="C6" s="4">
        <v>1.145E-2</v>
      </c>
      <c r="D6" s="4">
        <v>1.1950000000000001E-2</v>
      </c>
      <c r="E6" s="4">
        <v>1.252E-2</v>
      </c>
      <c r="F6" s="4">
        <v>1.295E-2</v>
      </c>
      <c r="G6" s="4">
        <v>2.1698055555555554E-2</v>
      </c>
      <c r="H6" s="4">
        <v>1.3406E-2</v>
      </c>
      <c r="I6" s="4">
        <v>1.3391E-2</v>
      </c>
      <c r="J6" s="4">
        <v>2.2696999999999998E-2</v>
      </c>
      <c r="K6" s="4">
        <v>1.4060999999999999E-2</v>
      </c>
      <c r="L6" s="4">
        <v>2.0334967138772475E-2</v>
      </c>
      <c r="M6" s="4">
        <v>-2.8035859820700892E-2</v>
      </c>
      <c r="N6" s="4">
        <v>9.5500000000000007</v>
      </c>
      <c r="O6" s="4">
        <v>5.2437673114242855E-3</v>
      </c>
      <c r="P6" s="4">
        <v>-2.5694669590922148E-2</v>
      </c>
      <c r="Q6" s="4">
        <v>15.9495</v>
      </c>
      <c r="R6" s="4">
        <v>-3.7200139999999998E-4</v>
      </c>
      <c r="S6" s="4">
        <v>1.96057E-2</v>
      </c>
      <c r="T6" s="4">
        <v>7.5074928985681799E-2</v>
      </c>
      <c r="U6" s="4">
        <v>93.5</v>
      </c>
      <c r="V6" s="5">
        <v>4.3999999999999997E-2</v>
      </c>
      <c r="W6" s="4">
        <v>261.86957000000001</v>
      </c>
      <c r="X6" s="4">
        <v>1967.79</v>
      </c>
      <c r="Y6" s="4">
        <v>510.87700000000001</v>
      </c>
      <c r="Z6" s="4">
        <v>327.476</v>
      </c>
      <c r="AA6" s="5">
        <v>1.1599999999999999E-2</v>
      </c>
      <c r="AB6" s="5">
        <v>2.1499999999999998E-2</v>
      </c>
      <c r="AC6" s="5">
        <v>5.5000000000000005E-3</v>
      </c>
      <c r="AD6" s="5">
        <v>2.2099999999999998E-2</v>
      </c>
      <c r="AE6" s="5">
        <v>2.41E-2</v>
      </c>
    </row>
    <row r="7" spans="1:31" x14ac:dyDescent="0.3">
      <c r="A7" s="3">
        <v>43738</v>
      </c>
      <c r="B7" s="4">
        <v>1.6399999999999998E-2</v>
      </c>
      <c r="C7" s="4">
        <v>1.298E-2</v>
      </c>
      <c r="D7" s="4">
        <v>1.2969999999999999E-2</v>
      </c>
      <c r="E7" s="4">
        <v>1.355E-2</v>
      </c>
      <c r="F7" s="4">
        <v>1.46E-2</v>
      </c>
      <c r="G7" s="4">
        <v>2.1708055555555553E-2</v>
      </c>
      <c r="H7" s="4">
        <v>1.4759E-2</v>
      </c>
      <c r="I7" s="4">
        <v>1.4638999999999999E-2</v>
      </c>
      <c r="J7" s="4">
        <v>2.2970999999999998E-2</v>
      </c>
      <c r="K7" s="4">
        <v>1.5266E-2</v>
      </c>
      <c r="L7" s="4">
        <v>-1.0171581038785904E-2</v>
      </c>
      <c r="M7" s="4">
        <v>4.8409637207222467E-2</v>
      </c>
      <c r="N7" s="4">
        <v>10.24</v>
      </c>
      <c r="O7" s="4">
        <v>-6.8030432096406468E-3</v>
      </c>
      <c r="P7" s="4">
        <v>1.9131806677536778E-2</v>
      </c>
      <c r="Q7" s="4">
        <v>16.336300000000001</v>
      </c>
      <c r="R7" s="4">
        <v>-4.2605840000000004E-3</v>
      </c>
      <c r="S7" s="4">
        <v>1.677447E-2</v>
      </c>
      <c r="T7" s="4">
        <v>7.5074928985681799E-2</v>
      </c>
      <c r="U7" s="4">
        <v>98</v>
      </c>
      <c r="V7" s="5">
        <v>4.2000000000000003E-2</v>
      </c>
      <c r="W7" s="4">
        <v>260.08805999999998</v>
      </c>
      <c r="X7" s="4">
        <v>2063.0500000000002</v>
      </c>
      <c r="Y7" s="4">
        <v>520.65099999999995</v>
      </c>
      <c r="Z7" s="4">
        <v>325.74400000000003</v>
      </c>
      <c r="AA7" s="5">
        <v>1.26E-2</v>
      </c>
      <c r="AB7" s="5">
        <v>2.2700000000000001E-2</v>
      </c>
      <c r="AC7" s="5">
        <v>6.4000000000000003E-3</v>
      </c>
      <c r="AD7" s="5">
        <v>2.2599999999999999E-2</v>
      </c>
      <c r="AE7" s="5">
        <v>2.5000000000000001E-2</v>
      </c>
    </row>
    <row r="8" spans="1:31" x14ac:dyDescent="0.3">
      <c r="A8" s="3">
        <v>43769</v>
      </c>
      <c r="B8" s="4">
        <v>1.6200000000000003E-2</v>
      </c>
      <c r="C8" s="4">
        <v>1.371E-2</v>
      </c>
      <c r="D8" s="4">
        <v>1.4619999999999999E-2</v>
      </c>
      <c r="E8" s="4">
        <v>1.5859999999999999E-2</v>
      </c>
      <c r="F8" s="4">
        <v>1.7299999999999999E-2</v>
      </c>
      <c r="G8" s="4">
        <v>2.172194444444444E-2</v>
      </c>
      <c r="H8" s="4">
        <v>1.6236E-2</v>
      </c>
      <c r="I8" s="4">
        <v>1.5394000000000001E-2</v>
      </c>
      <c r="J8" s="4">
        <v>2.2617999999999999E-2</v>
      </c>
      <c r="K8" s="4">
        <v>1.6559999999999998E-2</v>
      </c>
      <c r="L8" s="4">
        <v>6.6588675153038679E-3</v>
      </c>
      <c r="M8" s="4">
        <v>9.9028137951091555E-3</v>
      </c>
      <c r="N8" s="4">
        <v>10.37</v>
      </c>
      <c r="O8" s="4">
        <v>-1.1404829579643061E-2</v>
      </c>
      <c r="P8" s="4">
        <v>2.6428452072501551E-2</v>
      </c>
      <c r="Q8" s="4">
        <v>16.823699999999999</v>
      </c>
      <c r="R8" s="4">
        <v>0</v>
      </c>
      <c r="S8" s="4">
        <v>1.6505909999999999E-2</v>
      </c>
      <c r="T8" s="4">
        <v>8.6683238480999458E-2</v>
      </c>
      <c r="U8" s="4">
        <v>99.7</v>
      </c>
      <c r="V8" s="5">
        <v>4.1000000000000009E-2</v>
      </c>
      <c r="W8" s="4">
        <v>257.12180000000001</v>
      </c>
      <c r="X8" s="4">
        <v>2083.48</v>
      </c>
      <c r="Y8" s="4">
        <v>534.41099999999994</v>
      </c>
      <c r="Z8" s="4">
        <v>325.29199999999997</v>
      </c>
      <c r="AA8" s="5">
        <v>1.2800000000000001E-2</v>
      </c>
      <c r="AB8" s="5">
        <v>2.2200000000000001E-2</v>
      </c>
      <c r="AC8" s="5">
        <v>6.8999999999999999E-3</v>
      </c>
      <c r="AD8" s="5">
        <v>2.1299999999999999E-2</v>
      </c>
      <c r="AE8" s="5">
        <v>2.4E-2</v>
      </c>
    </row>
    <row r="9" spans="1:31" x14ac:dyDescent="0.3">
      <c r="A9" s="3">
        <v>43799</v>
      </c>
      <c r="B9" s="4">
        <v>1.7000000000000001E-2</v>
      </c>
      <c r="C9" s="4">
        <v>1.3690000000000001E-2</v>
      </c>
      <c r="D9" s="4">
        <v>1.387E-2</v>
      </c>
      <c r="E9" s="4">
        <v>1.4800000000000001E-2</v>
      </c>
      <c r="F9" s="4">
        <v>1.635E-2</v>
      </c>
      <c r="G9" s="4">
        <v>2.1578888888888884E-2</v>
      </c>
      <c r="H9" s="4">
        <v>1.5688999999999998E-2</v>
      </c>
      <c r="I9" s="4">
        <v>1.5232000000000001E-2</v>
      </c>
      <c r="J9" s="4">
        <v>2.2387999999999998E-2</v>
      </c>
      <c r="K9" s="4">
        <v>1.5909E-2</v>
      </c>
      <c r="L9" s="4">
        <v>-7.5826476995126679E-3</v>
      </c>
      <c r="M9" s="4">
        <v>2.1502486224969086E-3</v>
      </c>
      <c r="N9" s="4">
        <v>10.18</v>
      </c>
      <c r="O9" s="4">
        <v>7.1382123180532275E-3</v>
      </c>
      <c r="P9" s="4">
        <v>2.2986053805030382E-2</v>
      </c>
      <c r="Q9" s="4">
        <v>17.459299999999999</v>
      </c>
      <c r="R9" s="4">
        <v>1.5201850000000001E-3</v>
      </c>
      <c r="S9" s="4">
        <v>1.8939930000000001E-2</v>
      </c>
      <c r="T9" s="4">
        <v>8.6683238480999458E-2</v>
      </c>
      <c r="U9" s="4">
        <v>102</v>
      </c>
      <c r="V9" s="5">
        <v>4.1000000000000009E-2</v>
      </c>
      <c r="W9" s="4">
        <v>258.95719000000003</v>
      </c>
      <c r="X9" s="4">
        <v>2087.96</v>
      </c>
      <c r="Y9" s="4">
        <v>546.69500000000005</v>
      </c>
      <c r="Z9" s="4">
        <v>324.779</v>
      </c>
      <c r="AA9" s="5">
        <v>1.34E-2</v>
      </c>
      <c r="AB9" s="5">
        <v>2.2499999999999999E-2</v>
      </c>
      <c r="AC9" s="5">
        <v>7.7000000000000002E-3</v>
      </c>
      <c r="AD9" s="5">
        <v>2.18E-2</v>
      </c>
      <c r="AE9" s="5">
        <v>2.46E-2</v>
      </c>
    </row>
    <row r="10" spans="1:31" x14ac:dyDescent="0.3">
      <c r="A10" s="3">
        <v>43830</v>
      </c>
      <c r="B10" s="4">
        <v>1.6899999999999998E-2</v>
      </c>
      <c r="C10" s="4">
        <v>1.3389999999999999E-2</v>
      </c>
      <c r="D10" s="4">
        <v>1.355E-2</v>
      </c>
      <c r="E10" s="4">
        <v>1.47E-2</v>
      </c>
      <c r="F10" s="4">
        <v>1.6719999999999999E-2</v>
      </c>
      <c r="G10" s="4">
        <v>2.1462222222222219E-2</v>
      </c>
      <c r="H10" s="4">
        <v>1.5821000000000002E-2</v>
      </c>
      <c r="I10" s="4">
        <v>1.5014000000000001E-2</v>
      </c>
      <c r="J10" s="4">
        <v>2.2212999999999997E-2</v>
      </c>
      <c r="K10" s="4">
        <v>1.5810999999999999E-2</v>
      </c>
      <c r="L10" s="4">
        <v>5.83167520010619E-3</v>
      </c>
      <c r="M10" s="4">
        <v>5.2544110040422254E-2</v>
      </c>
      <c r="N10" s="4">
        <v>10.72</v>
      </c>
      <c r="O10" s="4">
        <v>-2.157306387206348E-3</v>
      </c>
      <c r="P10" s="4">
        <v>3.3929339028160088E-2</v>
      </c>
      <c r="Q10" s="4">
        <v>18.002300000000002</v>
      </c>
      <c r="R10" s="4">
        <v>7.3847339999999996E-3</v>
      </c>
      <c r="S10" s="4">
        <v>2.1661969999999999E-2</v>
      </c>
      <c r="T10" s="4">
        <v>8.6683238480999458E-2</v>
      </c>
      <c r="U10" s="4">
        <v>101.5</v>
      </c>
      <c r="V10" s="5">
        <v>3.9E-2</v>
      </c>
      <c r="W10" s="4">
        <v>258.39854000000003</v>
      </c>
      <c r="X10" s="4">
        <v>2197.67</v>
      </c>
      <c r="Y10" s="4">
        <v>565.24400000000003</v>
      </c>
      <c r="Z10" s="4">
        <v>323.92</v>
      </c>
      <c r="AA10" s="5">
        <v>1.38E-2</v>
      </c>
      <c r="AB10" s="5">
        <v>2.23E-2</v>
      </c>
      <c r="AC10" s="5">
        <v>8.3000000000000001E-3</v>
      </c>
      <c r="AD10" s="5">
        <v>2.1000000000000001E-2</v>
      </c>
      <c r="AE10" s="5">
        <v>2.41E-2</v>
      </c>
    </row>
    <row r="11" spans="1:31" x14ac:dyDescent="0.3">
      <c r="A11" s="3">
        <v>43861</v>
      </c>
      <c r="B11" s="4">
        <v>1.6200000000000003E-2</v>
      </c>
      <c r="C11" s="4">
        <v>1.2669999999999999E-2</v>
      </c>
      <c r="D11" s="4">
        <v>1.312E-2</v>
      </c>
      <c r="E11" s="4">
        <v>1.3950000000000001E-2</v>
      </c>
      <c r="F11" s="4">
        <v>1.562E-2</v>
      </c>
      <c r="G11" s="4">
        <v>2.1297499999999997E-2</v>
      </c>
      <c r="H11" s="4">
        <v>1.4929E-2</v>
      </c>
      <c r="I11" s="4">
        <v>1.4217E-2</v>
      </c>
      <c r="J11" s="4">
        <v>2.1888999999999999E-2</v>
      </c>
      <c r="K11" s="4">
        <v>1.5045999999999999E-2</v>
      </c>
      <c r="L11" s="4">
        <v>1.2765619796462957E-2</v>
      </c>
      <c r="M11" s="4">
        <v>-3.5792452916042827E-2</v>
      </c>
      <c r="N11" s="4">
        <v>10.36</v>
      </c>
      <c r="O11" s="4">
        <v>6.6045651805926031E-3</v>
      </c>
      <c r="P11" s="4">
        <v>-1.1717063781305104E-2</v>
      </c>
      <c r="Q11" s="4">
        <v>18.075800000000001</v>
      </c>
      <c r="R11" s="4">
        <v>1.219611E-2</v>
      </c>
      <c r="S11" s="4">
        <v>2.3757609999999998E-2</v>
      </c>
      <c r="T11" s="4">
        <v>6.5133002628896319E-2</v>
      </c>
      <c r="U11" s="4">
        <v>105.3</v>
      </c>
      <c r="V11" s="5">
        <v>3.7999999999999999E-2</v>
      </c>
      <c r="W11" s="4">
        <v>260.10514999999998</v>
      </c>
      <c r="X11" s="4">
        <v>2119.0100000000002</v>
      </c>
      <c r="Y11" s="4">
        <v>558.62099999999998</v>
      </c>
      <c r="Z11" s="4">
        <v>330.14800000000002</v>
      </c>
      <c r="AA11" s="5">
        <v>1.1599999999999999E-2</v>
      </c>
      <c r="AB11" s="5">
        <v>2.0099999999999996E-2</v>
      </c>
      <c r="AC11" s="5">
        <v>6.3E-3</v>
      </c>
      <c r="AD11" s="5">
        <v>1.8799999999999997E-2</v>
      </c>
      <c r="AE11" s="5">
        <v>2.1099999999999997E-2</v>
      </c>
    </row>
    <row r="12" spans="1:31" x14ac:dyDescent="0.3">
      <c r="A12" s="3">
        <v>43890</v>
      </c>
      <c r="B12" s="4">
        <v>1.5100000000000001E-2</v>
      </c>
      <c r="C12" s="4">
        <v>1.106E-2</v>
      </c>
      <c r="D12" s="4">
        <v>1.1000000000000001E-2</v>
      </c>
      <c r="E12" s="4">
        <v>1.1699999999999999E-2</v>
      </c>
      <c r="F12" s="4">
        <v>1.3269999999999999E-2</v>
      </c>
      <c r="G12" s="4">
        <v>2.1066944444444444E-2</v>
      </c>
      <c r="H12" s="4">
        <v>1.2944000000000001E-2</v>
      </c>
      <c r="I12" s="4">
        <v>1.2480999999999999E-2</v>
      </c>
      <c r="J12" s="4">
        <v>2.1498E-2</v>
      </c>
      <c r="K12" s="4">
        <v>1.303E-2</v>
      </c>
      <c r="L12" s="4">
        <v>6.7251636906773271E-3</v>
      </c>
      <c r="M12" s="4">
        <v>-6.229324071146447E-2</v>
      </c>
      <c r="N12" s="4">
        <v>11.68</v>
      </c>
      <c r="O12" s="4">
        <v>1.3049645499137785E-2</v>
      </c>
      <c r="P12" s="4">
        <v>-8.210217660990192E-2</v>
      </c>
      <c r="Q12" s="4">
        <v>15.3088</v>
      </c>
      <c r="R12" s="4">
        <v>8.5489020000000006E-3</v>
      </c>
      <c r="S12" s="4">
        <v>2.2658670000000002E-2</v>
      </c>
      <c r="T12" s="4">
        <v>6.5133002628896319E-2</v>
      </c>
      <c r="U12" s="4">
        <v>98</v>
      </c>
      <c r="V12" s="5">
        <v>3.9E-2</v>
      </c>
      <c r="W12" s="4">
        <v>263.49943000000002</v>
      </c>
      <c r="X12" s="4">
        <v>1987.01</v>
      </c>
      <c r="Y12" s="4">
        <v>512.75699999999995</v>
      </c>
      <c r="Z12" s="4">
        <v>334.38299999999998</v>
      </c>
      <c r="AA12" s="5">
        <v>9.7999999999999997E-3</v>
      </c>
      <c r="AB12" s="5">
        <v>1.9199999999999998E-2</v>
      </c>
      <c r="AC12" s="5">
        <v>4.5000000000000005E-3</v>
      </c>
      <c r="AD12" s="5">
        <v>1.6299999999999999E-2</v>
      </c>
      <c r="AE12" s="5">
        <v>1.9099999999999999E-2</v>
      </c>
    </row>
    <row r="13" spans="1:31" x14ac:dyDescent="0.3">
      <c r="A13" s="3">
        <v>43921</v>
      </c>
      <c r="B13" s="4">
        <v>1.37E-2</v>
      </c>
      <c r="C13" s="4">
        <v>9.3999999999999986E-3</v>
      </c>
      <c r="D13" s="4">
        <v>1.0700000000000001E-2</v>
      </c>
      <c r="E13" s="4">
        <v>1.2969999999999999E-2</v>
      </c>
      <c r="F13" s="4">
        <v>1.5520000000000001E-2</v>
      </c>
      <c r="G13" s="4">
        <v>2.0890555555555551E-2</v>
      </c>
      <c r="H13" s="4">
        <v>1.4159999999999999E-2</v>
      </c>
      <c r="I13" s="4">
        <v>1.3024000000000001E-2</v>
      </c>
      <c r="J13" s="4">
        <v>2.1921E-2</v>
      </c>
      <c r="K13" s="4">
        <v>1.3892E-2</v>
      </c>
      <c r="L13" s="4">
        <v>6.8547628470037258E-2</v>
      </c>
      <c r="M13" s="4">
        <v>-0.11694455488397137</v>
      </c>
      <c r="N13" s="4">
        <v>15.52</v>
      </c>
      <c r="O13" s="4">
        <v>-1.1443895723038278E-2</v>
      </c>
      <c r="P13" s="4">
        <v>-0.13731845689088584</v>
      </c>
      <c r="Q13" s="4">
        <v>15.192500000000001</v>
      </c>
      <c r="R13" s="4">
        <v>8.2626279999999993E-3</v>
      </c>
      <c r="S13" s="4">
        <v>1.7534110000000002E-2</v>
      </c>
      <c r="T13" s="4">
        <v>6.5133002628896319E-2</v>
      </c>
      <c r="U13" s="4">
        <v>79.7</v>
      </c>
      <c r="V13" s="5">
        <v>3.7999999999999999E-2</v>
      </c>
      <c r="W13" s="4">
        <v>260.48397</v>
      </c>
      <c r="X13" s="4">
        <v>1754.64</v>
      </c>
      <c r="Y13" s="4">
        <v>442.346</v>
      </c>
      <c r="Z13" s="4">
        <v>329.41399999999999</v>
      </c>
      <c r="AA13" s="5">
        <v>1.1599999999999999E-2</v>
      </c>
      <c r="AB13" s="5">
        <v>3.1300000000000001E-2</v>
      </c>
      <c r="AC13" s="5">
        <v>3.4000000000000002E-3</v>
      </c>
      <c r="AD13" s="5">
        <v>3.2400000000000005E-2</v>
      </c>
      <c r="AE13" s="5">
        <v>3.4000000000000002E-2</v>
      </c>
    </row>
    <row r="14" spans="1:31" x14ac:dyDescent="0.3">
      <c r="A14" s="3">
        <v>43951</v>
      </c>
      <c r="B14" s="4">
        <v>1.34E-2</v>
      </c>
      <c r="C14" s="4">
        <v>7.7099999999999998E-3</v>
      </c>
      <c r="D14" s="4">
        <v>1.01E-2</v>
      </c>
      <c r="E14" s="4">
        <v>1.2470000000000002E-2</v>
      </c>
      <c r="F14" s="4">
        <v>1.5169999999999999E-2</v>
      </c>
      <c r="G14" s="4">
        <v>2.0703055555555554E-2</v>
      </c>
      <c r="H14" s="4">
        <v>1.34E-2</v>
      </c>
      <c r="I14" s="4">
        <v>1.1918999999999999E-2</v>
      </c>
      <c r="J14" s="4">
        <v>2.1711999999999999E-2</v>
      </c>
      <c r="K14" s="4">
        <v>1.3265000000000001E-2</v>
      </c>
      <c r="L14" s="4">
        <v>8.4645637379347383E-2</v>
      </c>
      <c r="M14" s="4">
        <v>0.10994847946017415</v>
      </c>
      <c r="N14" s="4">
        <v>17.010000000000002</v>
      </c>
      <c r="O14" s="4">
        <v>3.53994911855815E-3</v>
      </c>
      <c r="P14" s="4">
        <v>0.10585152798940189</v>
      </c>
      <c r="Q14" s="4">
        <v>19.504899999999999</v>
      </c>
      <c r="R14" s="4">
        <v>1.9099120000000002E-4</v>
      </c>
      <c r="S14" s="4">
        <v>8.4870769999999991E-3</v>
      </c>
      <c r="T14" s="4">
        <v>5.4270781838072768E-2</v>
      </c>
      <c r="U14" s="4">
        <v>72.099999999999994</v>
      </c>
      <c r="V14" s="5">
        <v>3.7999999999999999E-2</v>
      </c>
      <c r="W14" s="4">
        <v>261.40607</v>
      </c>
      <c r="X14" s="4">
        <v>1947.56</v>
      </c>
      <c r="Y14" s="4">
        <v>489.16899999999998</v>
      </c>
      <c r="Z14" s="4">
        <v>334.53399999999999</v>
      </c>
      <c r="AA14" s="5">
        <v>9.7999999999999997E-3</v>
      </c>
      <c r="AB14" s="5">
        <v>2.4700000000000003E-2</v>
      </c>
      <c r="AC14" s="5">
        <v>3.0999999999999999E-3</v>
      </c>
      <c r="AD14" s="5">
        <v>1.9599999999999999E-2</v>
      </c>
      <c r="AE14" s="5">
        <v>2.3599999999999999E-2</v>
      </c>
    </row>
    <row r="15" spans="1:31" x14ac:dyDescent="0.3">
      <c r="A15" s="3">
        <v>43982</v>
      </c>
      <c r="B15" s="4">
        <v>1.1899999999999999E-2</v>
      </c>
      <c r="C15" s="4">
        <v>5.7199999999999994E-3</v>
      </c>
      <c r="D15" s="4">
        <v>8.09E-3</v>
      </c>
      <c r="E15" s="4">
        <v>1.09E-2</v>
      </c>
      <c r="F15" s="4">
        <v>1.3650000000000001E-2</v>
      </c>
      <c r="G15" s="4">
        <v>2.0460833333333331E-2</v>
      </c>
      <c r="H15" s="4">
        <v>1.142E-2</v>
      </c>
      <c r="I15" s="4">
        <v>9.5490000000000002E-3</v>
      </c>
      <c r="J15" s="4">
        <v>2.1541999999999999E-2</v>
      </c>
      <c r="K15" s="4">
        <v>1.1168000000000001E-2</v>
      </c>
      <c r="L15" s="4">
        <v>7.1773299732019735E-2</v>
      </c>
      <c r="M15" s="4">
        <v>4.2124504508205041E-2</v>
      </c>
      <c r="N15" s="4">
        <v>17.760000000000002</v>
      </c>
      <c r="O15" s="4">
        <v>9.8489679294746502E-3</v>
      </c>
      <c r="P15" s="4">
        <v>4.1500994543808067E-2</v>
      </c>
      <c r="Q15" s="4">
        <v>21.505500000000001</v>
      </c>
      <c r="R15" s="4">
        <v>-2.1274029999999999E-3</v>
      </c>
      <c r="S15" s="4">
        <v>7.0975049999999996E-3</v>
      </c>
      <c r="T15" s="4">
        <v>5.4270781838072768E-2</v>
      </c>
      <c r="U15" s="4">
        <v>78.8</v>
      </c>
      <c r="V15" s="5">
        <v>3.7999999999999999E-2</v>
      </c>
      <c r="W15" s="4">
        <v>263.98065000000003</v>
      </c>
      <c r="X15" s="4">
        <v>2029.6</v>
      </c>
      <c r="Y15" s="4">
        <v>509.47</v>
      </c>
      <c r="Z15" s="4">
        <v>335.55399999999997</v>
      </c>
      <c r="AA15" s="5">
        <v>8.8000000000000005E-3</v>
      </c>
      <c r="AB15" s="5">
        <v>2.12E-2</v>
      </c>
      <c r="AC15" s="5">
        <v>2.8999999999999998E-3</v>
      </c>
      <c r="AD15" s="5">
        <v>1.43E-2</v>
      </c>
      <c r="AE15" s="5">
        <v>1.9099999999999999E-2</v>
      </c>
    </row>
    <row r="16" spans="1:31" x14ac:dyDescent="0.3">
      <c r="A16" s="3">
        <v>44012</v>
      </c>
      <c r="B16" s="4">
        <v>1.0200000000000001E-2</v>
      </c>
      <c r="C16" s="4">
        <v>5.7199999999999994E-3</v>
      </c>
      <c r="D16" s="4">
        <v>8.4499999999999992E-3</v>
      </c>
      <c r="E16" s="4">
        <v>1.115E-2</v>
      </c>
      <c r="F16" s="4">
        <v>1.3849999999999999E-2</v>
      </c>
      <c r="G16" s="4">
        <v>2.0231111111111109E-2</v>
      </c>
      <c r="H16" s="4">
        <v>1.1686E-2</v>
      </c>
      <c r="I16" s="4">
        <v>9.9550000000000003E-3</v>
      </c>
      <c r="J16" s="4">
        <v>1.9975E-2</v>
      </c>
      <c r="K16" s="4">
        <v>1.1731999999999999E-2</v>
      </c>
      <c r="L16" s="4">
        <v>6.3151230329221653E-2</v>
      </c>
      <c r="M16" s="4">
        <v>3.8790894757587679E-2</v>
      </c>
      <c r="N16" s="4">
        <v>18.440000000000001</v>
      </c>
      <c r="O16" s="4">
        <v>-1.6986851119580315E-3</v>
      </c>
      <c r="P16" s="4">
        <v>3.0302078630733975E-2</v>
      </c>
      <c r="Q16" s="4">
        <v>22.3108</v>
      </c>
      <c r="R16" s="4">
        <v>2.201204E-3</v>
      </c>
      <c r="S16" s="4">
        <v>1.056055E-2</v>
      </c>
      <c r="T16" s="4">
        <v>5.4270781838072768E-2</v>
      </c>
      <c r="U16" s="4">
        <v>83.1</v>
      </c>
      <c r="V16" s="5">
        <v>3.7999999999999999E-2</v>
      </c>
      <c r="W16" s="4">
        <v>263.53223000000003</v>
      </c>
      <c r="X16" s="4">
        <v>2108.33</v>
      </c>
      <c r="Y16" s="4">
        <v>524.90800000000002</v>
      </c>
      <c r="Z16" s="4">
        <v>337.52499999999998</v>
      </c>
      <c r="AA16" s="5">
        <v>8.199999999999999E-3</v>
      </c>
      <c r="AB16" s="5">
        <v>1.8700000000000001E-2</v>
      </c>
      <c r="AC16" s="5">
        <v>2.7000000000000001E-3</v>
      </c>
      <c r="AD16" s="5">
        <v>1.06E-2</v>
      </c>
      <c r="AE16" s="5">
        <v>1.5700000000000002E-2</v>
      </c>
    </row>
    <row r="17" spans="1:31" x14ac:dyDescent="0.3">
      <c r="A17" s="3">
        <v>44043</v>
      </c>
      <c r="B17" s="4">
        <v>9.3999999999999986E-3</v>
      </c>
      <c r="C17" s="4">
        <v>5.6499999999999996E-3</v>
      </c>
      <c r="D17" s="4">
        <v>7.92E-3</v>
      </c>
      <c r="E17" s="4">
        <v>1.0320000000000001E-2</v>
      </c>
      <c r="F17" s="4">
        <v>1.295E-2</v>
      </c>
      <c r="G17" s="4">
        <v>1.9972222222222225E-2</v>
      </c>
      <c r="H17" s="4">
        <v>1.0800000000000001E-2</v>
      </c>
      <c r="I17" s="4">
        <v>9.0119999999999992E-3</v>
      </c>
      <c r="J17" s="4">
        <v>1.9852000000000002E-2</v>
      </c>
      <c r="K17" s="4">
        <v>1.0696000000000001E-2</v>
      </c>
      <c r="L17" s="4">
        <v>6.8256152090303557E-2</v>
      </c>
      <c r="M17" s="4">
        <v>6.6896548453041049E-2</v>
      </c>
      <c r="N17" s="4">
        <v>19.86</v>
      </c>
      <c r="O17" s="4">
        <v>6.6391879277916122E-3</v>
      </c>
      <c r="P17" s="4">
        <v>5.1410913912533163E-2</v>
      </c>
      <c r="Q17" s="4">
        <v>23.128599999999999</v>
      </c>
      <c r="R17" s="4">
        <v>4.4663109999999997E-3</v>
      </c>
      <c r="S17" s="4">
        <v>1.1434610000000001E-2</v>
      </c>
      <c r="T17" s="4">
        <v>5.3854670231578083E-2</v>
      </c>
      <c r="U17" s="4">
        <v>85.4</v>
      </c>
      <c r="V17" s="5">
        <v>3.7000000000000005E-2</v>
      </c>
      <c r="W17" s="4">
        <v>265.28187000000003</v>
      </c>
      <c r="X17" s="4">
        <v>2249.37</v>
      </c>
      <c r="Y17" s="4">
        <v>551.89400000000001</v>
      </c>
      <c r="Z17" s="4">
        <v>341.63900000000001</v>
      </c>
      <c r="AA17" s="5">
        <v>6.8999999999999999E-3</v>
      </c>
      <c r="AB17" s="5">
        <v>1.5900000000000001E-2</v>
      </c>
      <c r="AC17" s="5">
        <v>2E-3</v>
      </c>
      <c r="AD17" s="5">
        <v>8.6E-3</v>
      </c>
      <c r="AE17" s="5">
        <v>1.3100000000000001E-2</v>
      </c>
    </row>
    <row r="18" spans="1:31" x14ac:dyDescent="0.3">
      <c r="A18" s="3">
        <v>44074</v>
      </c>
      <c r="B18" s="4">
        <v>9.1000000000000004E-3</v>
      </c>
      <c r="C18" s="4">
        <v>6.28E-3</v>
      </c>
      <c r="D18" s="4">
        <v>9.4699999999999993E-3</v>
      </c>
      <c r="E18" s="4">
        <v>1.2199999999999999E-2</v>
      </c>
      <c r="F18" s="4">
        <v>1.5269999999999999E-2</v>
      </c>
      <c r="G18" s="4">
        <v>1.9766666666666668E-2</v>
      </c>
      <c r="H18" s="4">
        <v>1.2086E-2</v>
      </c>
      <c r="I18" s="4">
        <v>9.9679999999999994E-3</v>
      </c>
      <c r="J18" s="4">
        <v>1.9449000000000001E-2</v>
      </c>
      <c r="K18" s="4">
        <v>1.1808000000000001E-2</v>
      </c>
      <c r="L18" s="4">
        <v>3.5202579731033801E-2</v>
      </c>
      <c r="M18" s="4">
        <v>3.4142893343469538E-2</v>
      </c>
      <c r="N18" s="4">
        <v>20.58</v>
      </c>
      <c r="O18" s="4">
        <v>-8.5683955710958992E-3</v>
      </c>
      <c r="P18" s="4">
        <v>5.9739732629816578E-2</v>
      </c>
      <c r="Q18" s="4">
        <v>24.6066</v>
      </c>
      <c r="R18" s="4">
        <v>7.6942420000000004E-3</v>
      </c>
      <c r="S18" s="4">
        <v>1.227689E-2</v>
      </c>
      <c r="T18" s="4">
        <v>5.3854670231578083E-2</v>
      </c>
      <c r="U18" s="4">
        <v>89.3</v>
      </c>
      <c r="V18" s="5">
        <v>3.7000000000000005E-2</v>
      </c>
      <c r="W18" s="4">
        <v>263.00882999999999</v>
      </c>
      <c r="X18" s="4">
        <v>2326.17</v>
      </c>
      <c r="Y18" s="4">
        <v>584.86400000000003</v>
      </c>
      <c r="Z18" s="4">
        <v>339.00400000000002</v>
      </c>
      <c r="AA18" s="5">
        <v>7.4999999999999997E-3</v>
      </c>
      <c r="AB18" s="5">
        <v>1.6200000000000003E-2</v>
      </c>
      <c r="AC18" s="5">
        <v>2.7000000000000001E-3</v>
      </c>
      <c r="AD18" s="5">
        <v>7.6E-3</v>
      </c>
      <c r="AE18" s="5">
        <v>1.24E-2</v>
      </c>
    </row>
    <row r="19" spans="1:31" x14ac:dyDescent="0.3">
      <c r="A19" s="3">
        <v>44104</v>
      </c>
      <c r="B19" s="4">
        <v>0.01</v>
      </c>
      <c r="C19" s="4">
        <v>6.0400000000000002E-3</v>
      </c>
      <c r="D19" s="4">
        <v>8.4200000000000004E-3</v>
      </c>
      <c r="E19" s="4">
        <v>1.1000000000000001E-2</v>
      </c>
      <c r="F19" s="4">
        <v>1.427E-2</v>
      </c>
      <c r="G19" s="4">
        <v>1.9504444444444446E-2</v>
      </c>
      <c r="H19" s="4">
        <v>1.1524000000000001E-2</v>
      </c>
      <c r="I19" s="4">
        <v>9.6989999999999993E-3</v>
      </c>
      <c r="J19" s="4">
        <v>1.9989E-2</v>
      </c>
      <c r="K19" s="4">
        <v>1.0806E-2</v>
      </c>
      <c r="L19" s="4">
        <v>4.5004666240974434E-2</v>
      </c>
      <c r="M19" s="4">
        <v>7.39412854606325E-4</v>
      </c>
      <c r="N19" s="4">
        <v>20.62</v>
      </c>
      <c r="O19" s="4">
        <v>6.958169427239369E-3</v>
      </c>
      <c r="P19" s="4">
        <v>-3.3710401050500605E-2</v>
      </c>
      <c r="Q19" s="4">
        <v>23.8764</v>
      </c>
      <c r="R19" s="4">
        <v>9.479528000000001E-3</v>
      </c>
      <c r="S19" s="4">
        <v>1.2602839999999999E-2</v>
      </c>
      <c r="T19" s="4">
        <v>5.3854670231578083E-2</v>
      </c>
      <c r="U19" s="4">
        <v>80.7</v>
      </c>
      <c r="V19" s="5">
        <v>3.4000000000000002E-2</v>
      </c>
      <c r="W19" s="4">
        <v>264.83888999999999</v>
      </c>
      <c r="X19" s="4">
        <v>2327.89</v>
      </c>
      <c r="Y19" s="4">
        <v>565.14800000000002</v>
      </c>
      <c r="Z19" s="4">
        <v>340.404</v>
      </c>
      <c r="AA19" s="5">
        <v>6.9999999999999993E-3</v>
      </c>
      <c r="AB19" s="5">
        <v>1.6200000000000003E-2</v>
      </c>
      <c r="AC19" s="5">
        <v>2E-3</v>
      </c>
      <c r="AD19" s="5">
        <v>8.3000000000000001E-3</v>
      </c>
      <c r="AE19" s="5">
        <v>1.32E-2</v>
      </c>
    </row>
    <row r="20" spans="1:31" x14ac:dyDescent="0.3">
      <c r="A20" s="3">
        <v>44135</v>
      </c>
      <c r="B20" s="4">
        <v>0.01</v>
      </c>
      <c r="C20" s="4">
        <v>6.3299999999999997E-3</v>
      </c>
      <c r="D20" s="4">
        <v>9.3500000000000007E-3</v>
      </c>
      <c r="E20" s="4">
        <v>1.24E-2</v>
      </c>
      <c r="F20" s="4">
        <v>1.5520000000000001E-2</v>
      </c>
      <c r="G20" s="4">
        <v>1.9220000000000001E-2</v>
      </c>
      <c r="H20" s="4">
        <v>1.2113000000000001E-2</v>
      </c>
      <c r="I20" s="4">
        <v>1.0024999999999999E-2</v>
      </c>
      <c r="J20" s="4">
        <v>2.0032999999999999E-2</v>
      </c>
      <c r="K20" s="4">
        <v>1.1447000000000001E-2</v>
      </c>
      <c r="L20" s="4">
        <v>4.5635920957170839E-2</v>
      </c>
      <c r="M20" s="4">
        <v>-2.6092298175600992E-2</v>
      </c>
      <c r="N20" s="4">
        <v>20.190000000000001</v>
      </c>
      <c r="O20" s="4">
        <v>-3.9102640854596915E-3</v>
      </c>
      <c r="P20" s="4">
        <v>-2.5042997586472993E-2</v>
      </c>
      <c r="Q20" s="4">
        <v>22.7684</v>
      </c>
      <c r="R20" s="4">
        <v>1.3894300000000001E-3</v>
      </c>
      <c r="S20" s="4">
        <v>1.148221E-2</v>
      </c>
      <c r="T20" s="4">
        <v>6.7231476115481748E-2</v>
      </c>
      <c r="U20" s="4">
        <v>92.7</v>
      </c>
      <c r="V20" s="5">
        <v>3.3000000000000002E-2</v>
      </c>
      <c r="W20" s="4">
        <v>263.80329999999998</v>
      </c>
      <c r="X20" s="4">
        <v>2267.15</v>
      </c>
      <c r="Y20" s="4">
        <v>550.995</v>
      </c>
      <c r="Z20" s="4">
        <v>340.137</v>
      </c>
      <c r="AA20" s="5">
        <v>6.9999999999999993E-3</v>
      </c>
      <c r="AB20" s="5">
        <v>1.61E-2</v>
      </c>
      <c r="AC20" s="5">
        <v>2.3999999999999998E-3</v>
      </c>
      <c r="AD20" s="5">
        <v>7.9000000000000008E-3</v>
      </c>
      <c r="AE20" s="5">
        <v>1.32E-2</v>
      </c>
    </row>
    <row r="21" spans="1:31" x14ac:dyDescent="0.3">
      <c r="A21" s="3">
        <v>44165</v>
      </c>
      <c r="B21" s="4">
        <v>1.0200000000000001E-2</v>
      </c>
      <c r="C21" s="4">
        <v>5.8799999999999998E-3</v>
      </c>
      <c r="D21" s="4">
        <v>9.7999999999999997E-3</v>
      </c>
      <c r="E21" s="4">
        <v>1.3349999999999999E-2</v>
      </c>
      <c r="F21" s="4">
        <v>1.6619999999999999E-2</v>
      </c>
      <c r="G21" s="4">
        <v>1.899361111111111E-2</v>
      </c>
      <c r="H21" s="4">
        <v>1.2643999999999999E-2</v>
      </c>
      <c r="I21" s="4">
        <v>1.0055000000000001E-2</v>
      </c>
      <c r="J21" s="4">
        <v>1.9812E-2</v>
      </c>
      <c r="K21" s="4">
        <v>1.1417999999999999E-2</v>
      </c>
      <c r="L21" s="4">
        <v>5.3928979398298438E-2</v>
      </c>
      <c r="M21" s="4">
        <v>0.14299450852391771</v>
      </c>
      <c r="N21" s="4">
        <v>23.13</v>
      </c>
      <c r="O21" s="4">
        <v>-3.2427949157572966E-3</v>
      </c>
      <c r="P21" s="4">
        <v>0.12209003711467424</v>
      </c>
      <c r="Q21" s="4">
        <v>24.915800000000001</v>
      </c>
      <c r="R21" s="4">
        <v>6.1217720000000002E-3</v>
      </c>
      <c r="S21" s="4">
        <v>1.183446E-2</v>
      </c>
      <c r="T21" s="4">
        <v>6.7231476115481748E-2</v>
      </c>
      <c r="U21" s="4">
        <v>99.1</v>
      </c>
      <c r="V21" s="5">
        <v>3.3000000000000002E-2</v>
      </c>
      <c r="W21" s="4">
        <v>262.94783999999999</v>
      </c>
      <c r="X21" s="4">
        <v>2591.34</v>
      </c>
      <c r="Y21" s="4">
        <v>618.26599999999996</v>
      </c>
      <c r="Z21" s="4">
        <v>342.29399999999998</v>
      </c>
      <c r="AA21" s="5">
        <v>6.0000000000000001E-3</v>
      </c>
      <c r="AB21" s="5">
        <v>1.41E-2</v>
      </c>
      <c r="AC21" s="5">
        <v>2.3E-3</v>
      </c>
      <c r="AD21" s="5">
        <v>6.7000000000000002E-3</v>
      </c>
      <c r="AE21" s="5">
        <v>1.11E-2</v>
      </c>
    </row>
    <row r="22" spans="1:31" x14ac:dyDescent="0.3">
      <c r="A22" s="3">
        <v>44196</v>
      </c>
      <c r="B22" s="4">
        <v>1.0200000000000001E-2</v>
      </c>
      <c r="C22" s="4">
        <v>6.5599999999999999E-3</v>
      </c>
      <c r="D22" s="4">
        <v>9.7000000000000003E-3</v>
      </c>
      <c r="E22" s="4">
        <v>1.3349999999999999E-2</v>
      </c>
      <c r="F22" s="4">
        <v>1.7219999999999999E-2</v>
      </c>
      <c r="G22" s="4">
        <v>1.878666666666667E-2</v>
      </c>
      <c r="H22" s="4">
        <v>1.2914000000000002E-2</v>
      </c>
      <c r="I22" s="4">
        <v>1.0192000000000001E-2</v>
      </c>
      <c r="J22" s="4">
        <v>2.0074000000000002E-2</v>
      </c>
      <c r="K22" s="4">
        <v>1.1587E-2</v>
      </c>
      <c r="L22" s="4">
        <v>5.9159669054087427E-2</v>
      </c>
      <c r="M22" s="4">
        <v>0.10887417320768389</v>
      </c>
      <c r="N22" s="4">
        <v>25.74</v>
      </c>
      <c r="O22" s="4">
        <v>-1.9796321582257193E-3</v>
      </c>
      <c r="P22" s="4">
        <v>4.529118534740717E-2</v>
      </c>
      <c r="Q22" s="4">
        <v>25.889700000000001</v>
      </c>
      <c r="R22" s="4">
        <v>6.1272170000000008E-3</v>
      </c>
      <c r="S22" s="4">
        <v>1.229705E-2</v>
      </c>
      <c r="T22" s="4">
        <v>6.7231476115481748E-2</v>
      </c>
      <c r="U22" s="4">
        <v>91</v>
      </c>
      <c r="V22" s="5">
        <v>3.2000000000000001E-2</v>
      </c>
      <c r="W22" s="4">
        <v>262.4273</v>
      </c>
      <c r="X22" s="4">
        <v>2873.47</v>
      </c>
      <c r="Y22" s="4">
        <v>646.26800000000003</v>
      </c>
      <c r="Z22" s="4">
        <v>343.08300000000003</v>
      </c>
      <c r="AA22" s="5">
        <v>5.7999999999999996E-3</v>
      </c>
      <c r="AB22" s="5">
        <v>1.3500000000000002E-2</v>
      </c>
      <c r="AC22" s="5">
        <v>2.2000000000000001E-3</v>
      </c>
      <c r="AD22" s="5">
        <v>5.8999999999999999E-3</v>
      </c>
      <c r="AE22" s="5">
        <v>9.7999999999999997E-3</v>
      </c>
    </row>
    <row r="23" spans="1:31" x14ac:dyDescent="0.3">
      <c r="A23" s="3">
        <v>44227</v>
      </c>
      <c r="B23" s="4">
        <v>9.7000000000000003E-3</v>
      </c>
      <c r="C23" s="4">
        <v>6.3600000000000002E-3</v>
      </c>
      <c r="D23" s="4">
        <v>9.7199999999999995E-3</v>
      </c>
      <c r="E23" s="4">
        <v>1.315E-2</v>
      </c>
      <c r="F23" s="4">
        <v>1.7649999999999999E-2</v>
      </c>
      <c r="G23" s="4">
        <v>1.8507500000000003E-2</v>
      </c>
      <c r="H23" s="4">
        <v>1.2669999999999999E-2</v>
      </c>
      <c r="I23" s="4">
        <v>9.5720000000000006E-3</v>
      </c>
      <c r="J23" s="4">
        <v>1.9720000000000001E-2</v>
      </c>
      <c r="K23" s="4">
        <v>1.094E-2</v>
      </c>
      <c r="L23" s="4">
        <v>3.2709572676496546E-2</v>
      </c>
      <c r="M23" s="4">
        <v>3.5754679881815354E-2</v>
      </c>
      <c r="N23" s="4">
        <v>26.66</v>
      </c>
      <c r="O23" s="4">
        <v>-1.1946165661869124E-4</v>
      </c>
      <c r="P23" s="4">
        <v>-5.2006288412856927E-3</v>
      </c>
      <c r="Q23" s="4">
        <v>25.555700000000002</v>
      </c>
      <c r="R23" s="4">
        <v>9.4914580000000012E-3</v>
      </c>
      <c r="S23" s="4">
        <v>1.5788989999999999E-2</v>
      </c>
      <c r="T23" s="4">
        <v>8.3953912517443774E-2</v>
      </c>
      <c r="U23" s="4">
        <v>95.3</v>
      </c>
      <c r="V23" s="5">
        <v>3.3000000000000002E-2</v>
      </c>
      <c r="W23" s="4">
        <v>262.39595000000003</v>
      </c>
      <c r="X23" s="4">
        <v>2976.21</v>
      </c>
      <c r="Y23" s="4">
        <v>642.90700000000004</v>
      </c>
      <c r="Z23" s="4">
        <v>340.947</v>
      </c>
      <c r="AA23" s="5">
        <v>6.3E-3</v>
      </c>
      <c r="AB23" s="5">
        <v>1.4199999999999999E-2</v>
      </c>
      <c r="AC23" s="5">
        <v>2.8000000000000004E-3</v>
      </c>
      <c r="AD23" s="5">
        <v>6.0000000000000001E-3</v>
      </c>
      <c r="AE23" s="5">
        <v>1.0500000000000001E-2</v>
      </c>
    </row>
    <row r="24" spans="1:31" x14ac:dyDescent="0.3">
      <c r="A24" s="3">
        <v>44255</v>
      </c>
      <c r="B24" s="4">
        <v>9.3999999999999986E-3</v>
      </c>
      <c r="C24" s="4">
        <v>6.1900000000000002E-3</v>
      </c>
      <c r="D24" s="4">
        <v>1.0200000000000001E-2</v>
      </c>
      <c r="E24" s="4">
        <v>1.455E-2</v>
      </c>
      <c r="F24" s="4">
        <v>1.9699999999999999E-2</v>
      </c>
      <c r="G24" s="4">
        <v>1.8294999999999999E-2</v>
      </c>
      <c r="H24" s="4">
        <v>1.3305000000000001E-2</v>
      </c>
      <c r="I24" s="4">
        <v>9.3869999999999995E-3</v>
      </c>
      <c r="J24" s="4">
        <v>1.9429999999999999E-2</v>
      </c>
      <c r="K24" s="4">
        <v>1.1117999999999999E-2</v>
      </c>
      <c r="L24" s="4">
        <v>1.3457621948484988E-3</v>
      </c>
      <c r="M24" s="4">
        <v>1.2344559019692669E-2</v>
      </c>
      <c r="N24" s="4">
        <v>27.02</v>
      </c>
      <c r="O24" s="4">
        <v>-6.8151204315464176E-3</v>
      </c>
      <c r="P24" s="4">
        <v>2.214783786768515E-2</v>
      </c>
      <c r="Q24" s="4">
        <v>19.4589</v>
      </c>
      <c r="R24" s="4">
        <v>1.417732E-2</v>
      </c>
      <c r="S24" s="4">
        <v>1.7686939999999998E-2</v>
      </c>
      <c r="T24" s="4">
        <v>8.3953912517443774E-2</v>
      </c>
      <c r="U24" s="4">
        <v>97.4</v>
      </c>
      <c r="V24" s="5">
        <v>3.4000000000000002E-2</v>
      </c>
      <c r="W24" s="4">
        <v>260.60768999999999</v>
      </c>
      <c r="X24" s="4">
        <v>3012.95</v>
      </c>
      <c r="Y24" s="4">
        <v>657.14599999999996</v>
      </c>
      <c r="Z24" s="4">
        <v>334.83300000000003</v>
      </c>
      <c r="AA24" s="5">
        <v>8.3999999999999995E-3</v>
      </c>
      <c r="AB24" s="5">
        <v>1.61E-2</v>
      </c>
      <c r="AC24" s="5">
        <v>4.7999999999999996E-3</v>
      </c>
      <c r="AD24" s="5">
        <v>6.1999999999999998E-3</v>
      </c>
      <c r="AE24" s="5">
        <v>1.26E-2</v>
      </c>
    </row>
    <row r="25" spans="1:31" x14ac:dyDescent="0.3">
      <c r="A25" s="3">
        <v>44286</v>
      </c>
      <c r="B25" s="4">
        <v>9.3999999999999986E-3</v>
      </c>
      <c r="C25" s="4">
        <v>6.9299999999999995E-3</v>
      </c>
      <c r="D25" s="4">
        <v>1.1270000000000001E-2</v>
      </c>
      <c r="E25" s="4">
        <v>1.5969999999999998E-2</v>
      </c>
      <c r="F25" s="4">
        <v>2.0569999999999998E-2</v>
      </c>
      <c r="G25" s="4">
        <v>1.8138055555555557E-2</v>
      </c>
      <c r="H25" s="4">
        <v>1.4362E-2</v>
      </c>
      <c r="I25" s="4">
        <v>9.9329999999999991E-3</v>
      </c>
      <c r="J25" s="4">
        <v>1.9255999999999999E-2</v>
      </c>
      <c r="K25" s="4">
        <v>1.2516000000000001E-2</v>
      </c>
      <c r="L25" s="4">
        <v>1.2573843248920857E-2</v>
      </c>
      <c r="M25" s="4">
        <v>1.6087223485288682E-2</v>
      </c>
      <c r="N25" s="4">
        <v>27.71</v>
      </c>
      <c r="O25" s="4">
        <v>-4.0563269641044064E-3</v>
      </c>
      <c r="P25" s="4">
        <v>2.4563795564455981E-2</v>
      </c>
      <c r="Q25" s="4">
        <v>19.886299999999999</v>
      </c>
      <c r="R25" s="4">
        <v>1.9011409999999999E-2</v>
      </c>
      <c r="S25" s="4">
        <v>2.4066779999999999E-2</v>
      </c>
      <c r="T25" s="4">
        <v>8.3953912517443774E-2</v>
      </c>
      <c r="U25" s="4">
        <v>100.6</v>
      </c>
      <c r="V25" s="5">
        <v>3.7999999999999999E-2</v>
      </c>
      <c r="W25" s="4">
        <v>259.55058000000002</v>
      </c>
      <c r="X25" s="4">
        <v>3061.42</v>
      </c>
      <c r="Y25" s="4">
        <v>673.28800000000001</v>
      </c>
      <c r="Z25" s="4">
        <v>333.55599999999998</v>
      </c>
      <c r="AA25" s="5">
        <v>9.1999999999999998E-3</v>
      </c>
      <c r="AB25" s="5">
        <v>1.7500000000000002E-2</v>
      </c>
      <c r="AC25" s="5">
        <v>5.1999999999999998E-3</v>
      </c>
      <c r="AD25" s="5">
        <v>7.0999999999999995E-3</v>
      </c>
      <c r="AE25" s="5">
        <v>1.43E-2</v>
      </c>
    </row>
    <row r="26" spans="1:31" x14ac:dyDescent="0.3">
      <c r="A26" s="3">
        <v>44316</v>
      </c>
      <c r="B26" s="4">
        <v>9.300000000000001E-3</v>
      </c>
      <c r="C26" s="4">
        <v>6.4000000000000003E-3</v>
      </c>
      <c r="D26" s="4">
        <v>1.137E-2</v>
      </c>
      <c r="E26" s="4">
        <v>1.6299999999999999E-2</v>
      </c>
      <c r="F26" s="4">
        <v>2.1299999999999999E-2</v>
      </c>
      <c r="G26" s="4">
        <v>1.7974999999999998E-2</v>
      </c>
      <c r="H26" s="4">
        <v>1.4491E-2</v>
      </c>
      <c r="I26" s="4">
        <v>9.6039999999999997E-3</v>
      </c>
      <c r="J26" s="4">
        <v>1.9005000000000001E-2</v>
      </c>
      <c r="K26" s="4">
        <v>1.2451E-2</v>
      </c>
      <c r="L26" s="4">
        <v>3.886002618567197E-4</v>
      </c>
      <c r="M26" s="4">
        <v>2.8235263374512432E-2</v>
      </c>
      <c r="N26" s="4">
        <v>28.54</v>
      </c>
      <c r="O26" s="4">
        <v>-2.1420872956632309E-3</v>
      </c>
      <c r="P26" s="4">
        <v>4.2391963023252988E-2</v>
      </c>
      <c r="Q26" s="4">
        <v>19.691199999999998</v>
      </c>
      <c r="R26" s="4">
        <v>2.4924620000000001E-2</v>
      </c>
      <c r="S26" s="4">
        <v>3.3334910000000002E-2</v>
      </c>
      <c r="T26" s="4">
        <v>8.8749414386387393E-2</v>
      </c>
      <c r="U26" s="4">
        <v>102.4</v>
      </c>
      <c r="V26" s="5">
        <v>4.2999999999999997E-2</v>
      </c>
      <c r="W26" s="4">
        <v>258.99459999999999</v>
      </c>
      <c r="X26" s="4">
        <v>3147.86</v>
      </c>
      <c r="Y26" s="4">
        <v>701.83</v>
      </c>
      <c r="Z26" s="4">
        <v>334.66399999999999</v>
      </c>
      <c r="AA26" s="5">
        <v>8.8000000000000005E-3</v>
      </c>
      <c r="AB26" s="5">
        <v>1.6799999999999999E-2</v>
      </c>
      <c r="AC26" s="5">
        <v>5.1999999999999998E-3</v>
      </c>
      <c r="AD26" s="5">
        <v>6.5000000000000006E-3</v>
      </c>
      <c r="AE26" s="5">
        <v>1.3100000000000001E-2</v>
      </c>
    </row>
    <row r="27" spans="1:31" x14ac:dyDescent="0.3">
      <c r="A27" s="3">
        <v>44347</v>
      </c>
      <c r="B27" s="4">
        <v>9.1999999999999998E-3</v>
      </c>
      <c r="C27" s="4">
        <v>6.7500000000000008E-3</v>
      </c>
      <c r="D27" s="4">
        <v>1.2270000000000001E-2</v>
      </c>
      <c r="E27" s="4">
        <v>1.7420000000000001E-2</v>
      </c>
      <c r="F27" s="4">
        <v>2.18E-2</v>
      </c>
      <c r="G27" s="4">
        <v>1.7831944444444442E-2</v>
      </c>
      <c r="H27" s="4">
        <v>1.5168999999999998E-2</v>
      </c>
      <c r="I27" s="4">
        <v>1.0535000000000001E-2</v>
      </c>
      <c r="J27" s="4">
        <v>1.8846000000000002E-2</v>
      </c>
      <c r="K27" s="4">
        <v>1.3325999999999999E-2</v>
      </c>
      <c r="L27" s="4">
        <v>-6.6457261722396854E-4</v>
      </c>
      <c r="M27" s="4">
        <v>1.7808924157999284E-2</v>
      </c>
      <c r="N27" s="4">
        <v>29.1</v>
      </c>
      <c r="O27" s="4">
        <v>-1.5778707355288413E-3</v>
      </c>
      <c r="P27" s="4">
        <v>1.3707023068264323E-2</v>
      </c>
      <c r="Q27" s="4">
        <v>19.446899999999999</v>
      </c>
      <c r="R27" s="4">
        <v>2.624698E-2</v>
      </c>
      <c r="S27" s="4">
        <v>3.8207119999999997E-2</v>
      </c>
      <c r="T27" s="4">
        <v>8.8749414386387393E-2</v>
      </c>
      <c r="U27" s="4">
        <v>105.5</v>
      </c>
      <c r="V27" s="5">
        <v>4.2999999999999997E-2</v>
      </c>
      <c r="W27" s="4">
        <v>258.58593999999999</v>
      </c>
      <c r="X27" s="4">
        <v>3203.92</v>
      </c>
      <c r="Y27" s="4">
        <v>711.45</v>
      </c>
      <c r="Z27" s="4">
        <v>335.33100000000002</v>
      </c>
      <c r="AA27" s="5">
        <v>8.6999999999999994E-3</v>
      </c>
      <c r="AB27" s="5">
        <v>1.6399999999999998E-2</v>
      </c>
      <c r="AC27" s="5">
        <v>5.0000000000000001E-3</v>
      </c>
      <c r="AD27" s="5">
        <v>5.7999999999999996E-3</v>
      </c>
      <c r="AE27" s="5">
        <v>1.2199999999999999E-2</v>
      </c>
    </row>
    <row r="28" spans="1:31" x14ac:dyDescent="0.3">
      <c r="A28" s="3">
        <v>44377</v>
      </c>
      <c r="B28" s="4">
        <v>1.06E-2</v>
      </c>
      <c r="C28" s="4">
        <v>9.5399999999999999E-3</v>
      </c>
      <c r="D28" s="4">
        <v>1.452E-2</v>
      </c>
      <c r="E28" s="4">
        <v>1.7420000000000001E-2</v>
      </c>
      <c r="F28" s="4">
        <v>2.0950000000000003E-2</v>
      </c>
      <c r="G28" s="4">
        <v>1.7704166666666667E-2</v>
      </c>
      <c r="H28" s="4">
        <v>1.6404999999999999E-2</v>
      </c>
      <c r="I28" s="4">
        <v>1.3484000000000001E-2</v>
      </c>
      <c r="J28" s="4">
        <v>1.9362000000000001E-2</v>
      </c>
      <c r="K28" s="4">
        <v>1.6046000000000001E-2</v>
      </c>
      <c r="L28" s="4">
        <v>-2.9627435004808689E-4</v>
      </c>
      <c r="M28" s="4">
        <v>2.8952033758645523E-2</v>
      </c>
      <c r="N28" s="4">
        <v>25.75</v>
      </c>
      <c r="O28" s="4">
        <v>2.7958596666162183E-3</v>
      </c>
      <c r="P28" s="4">
        <v>1.1976948485487249E-2</v>
      </c>
      <c r="Q28" s="4">
        <v>19.528099999999998</v>
      </c>
      <c r="R28" s="4">
        <v>2.3468059999999999E-2</v>
      </c>
      <c r="S28" s="4">
        <v>4.0332220000000002E-2</v>
      </c>
      <c r="T28" s="4">
        <v>8.8749414386387393E-2</v>
      </c>
      <c r="U28" s="4">
        <v>110.8</v>
      </c>
      <c r="V28" s="5">
        <v>4.2999999999999997E-2</v>
      </c>
      <c r="W28" s="4">
        <v>259.30891000000003</v>
      </c>
      <c r="X28" s="4">
        <v>3296.68</v>
      </c>
      <c r="Y28" s="4">
        <v>719.971</v>
      </c>
      <c r="Z28" s="4">
        <v>337.42500000000001</v>
      </c>
      <c r="AA28" s="5">
        <v>8.8999999999999999E-3</v>
      </c>
      <c r="AB28" s="5">
        <v>1.5900000000000001E-2</v>
      </c>
      <c r="AC28" s="5">
        <v>5.1000000000000004E-3</v>
      </c>
      <c r="AD28" s="5">
        <v>6.6E-3</v>
      </c>
      <c r="AE28" s="5">
        <v>1.2800000000000001E-2</v>
      </c>
    </row>
    <row r="29" spans="1:31" x14ac:dyDescent="0.3">
      <c r="A29" s="3">
        <v>44408</v>
      </c>
      <c r="B29" s="4">
        <v>1.1000000000000001E-2</v>
      </c>
      <c r="C29" s="4">
        <v>9.3799999999999994E-3</v>
      </c>
      <c r="D29" s="4">
        <v>1.4150000000000001E-2</v>
      </c>
      <c r="E29" s="4">
        <v>1.635E-2</v>
      </c>
      <c r="F29" s="4">
        <v>1.8669999999999999E-2</v>
      </c>
      <c r="G29" s="4">
        <v>1.7508888888888893E-2</v>
      </c>
      <c r="H29" s="4">
        <v>1.5632999999999998E-2</v>
      </c>
      <c r="I29" s="4">
        <v>1.3321000000000001E-2</v>
      </c>
      <c r="J29" s="4">
        <v>1.9225000000000003E-2</v>
      </c>
      <c r="K29" s="4">
        <v>1.5989E-2</v>
      </c>
      <c r="L29" s="4">
        <v>-3.2197729181981938E-4</v>
      </c>
      <c r="M29" s="4">
        <v>-2.8622735600664861E-2</v>
      </c>
      <c r="N29" s="4">
        <v>24.94</v>
      </c>
      <c r="O29" s="4">
        <v>1.1946253601543999E-2</v>
      </c>
      <c r="P29" s="4">
        <v>5.8863482001356715E-3</v>
      </c>
      <c r="Q29" s="4">
        <v>19.057099999999998</v>
      </c>
      <c r="R29" s="4">
        <v>2.6397669999999998E-2</v>
      </c>
      <c r="S29" s="4">
        <v>4.2223629999999998E-2</v>
      </c>
      <c r="T29" s="4">
        <v>7.3834699447013818E-2</v>
      </c>
      <c r="U29" s="4">
        <v>103.6</v>
      </c>
      <c r="V29" s="5">
        <v>4.2999999999999997E-2</v>
      </c>
      <c r="W29" s="4">
        <v>262.40667999999999</v>
      </c>
      <c r="X29" s="4">
        <v>3202.32</v>
      </c>
      <c r="Y29" s="4">
        <v>724.20899999999995</v>
      </c>
      <c r="Z29" s="4">
        <v>341.529</v>
      </c>
      <c r="AA29" s="5">
        <v>7.4999999999999997E-3</v>
      </c>
      <c r="AB29" s="5">
        <v>1.46E-2</v>
      </c>
      <c r="AC29" s="5">
        <v>3.8E-3</v>
      </c>
      <c r="AD29" s="5">
        <v>6.0999999999999995E-3</v>
      </c>
      <c r="AE29" s="5">
        <v>1.18E-2</v>
      </c>
    </row>
    <row r="30" spans="1:31" x14ac:dyDescent="0.3">
      <c r="A30" s="3">
        <v>44439</v>
      </c>
      <c r="B30" s="4">
        <v>1.1599999999999999E-2</v>
      </c>
      <c r="C30" s="4">
        <v>1.0669999999999999E-2</v>
      </c>
      <c r="D30" s="4">
        <v>1.3950000000000001E-2</v>
      </c>
      <c r="E30" s="4">
        <v>1.6469999999999999E-2</v>
      </c>
      <c r="F30" s="4">
        <v>1.9119999999999998E-2</v>
      </c>
      <c r="G30" s="4">
        <v>1.7398333333333335E-2</v>
      </c>
      <c r="H30" s="4">
        <v>1.5848000000000001E-2</v>
      </c>
      <c r="I30" s="4">
        <v>1.3594999999999999E-2</v>
      </c>
      <c r="J30" s="4">
        <v>1.9083000000000003E-2</v>
      </c>
      <c r="K30" s="4">
        <v>1.5738000000000002E-2</v>
      </c>
      <c r="L30" s="4">
        <v>5.3627685809016779E-3</v>
      </c>
      <c r="M30" s="4">
        <v>-9.5243448499848782E-4</v>
      </c>
      <c r="N30" s="4">
        <v>25.46</v>
      </c>
      <c r="O30" s="4">
        <v>7.7071208705525862E-4</v>
      </c>
      <c r="P30" s="4">
        <v>2.3559497327428902E-2</v>
      </c>
      <c r="Q30" s="4">
        <v>19.057700000000001</v>
      </c>
      <c r="R30" s="4">
        <v>2.555145E-2</v>
      </c>
      <c r="S30" s="4">
        <v>4.3438449999999997E-2</v>
      </c>
      <c r="T30" s="4">
        <v>7.3834699447013818E-2</v>
      </c>
      <c r="U30" s="4">
        <v>102.8</v>
      </c>
      <c r="V30" s="5">
        <v>4.2999999999999997E-2</v>
      </c>
      <c r="W30" s="4">
        <v>262.60892000000001</v>
      </c>
      <c r="X30" s="4">
        <v>3199.27</v>
      </c>
      <c r="Y30" s="4">
        <v>741.27099999999996</v>
      </c>
      <c r="Z30" s="4">
        <v>340.822</v>
      </c>
      <c r="AA30" s="5">
        <v>8.0000000000000002E-3</v>
      </c>
      <c r="AB30" s="5">
        <v>1.52E-2</v>
      </c>
      <c r="AC30" s="5">
        <v>4.3E-3</v>
      </c>
      <c r="AD30" s="5">
        <v>6.3E-3</v>
      </c>
      <c r="AE30" s="5">
        <v>1.24E-2</v>
      </c>
    </row>
    <row r="31" spans="1:31" x14ac:dyDescent="0.3">
      <c r="A31" s="3">
        <v>44469</v>
      </c>
      <c r="B31" s="4">
        <v>1.3100000000000001E-2</v>
      </c>
      <c r="C31" s="4">
        <v>1.091E-2</v>
      </c>
      <c r="D31" s="4">
        <v>1.5900000000000001E-2</v>
      </c>
      <c r="E31" s="4">
        <v>1.9269999999999999E-2</v>
      </c>
      <c r="F31" s="4">
        <v>2.2370000000000001E-2</v>
      </c>
      <c r="G31" s="4">
        <v>1.7365555555555558E-2</v>
      </c>
      <c r="H31" s="4">
        <v>1.8109E-2</v>
      </c>
      <c r="I31" s="4">
        <v>1.5408999999999999E-2</v>
      </c>
      <c r="J31" s="4">
        <v>1.8738999999999999E-2</v>
      </c>
      <c r="K31" s="4">
        <v>1.8043E-2</v>
      </c>
      <c r="L31" s="4">
        <v>-9.0304461757206855E-3</v>
      </c>
      <c r="M31" s="4">
        <v>-4.0774926780171687E-2</v>
      </c>
      <c r="N31" s="4">
        <v>24.67</v>
      </c>
      <c r="O31" s="4">
        <v>-1.3818951770564469E-2</v>
      </c>
      <c r="P31" s="4">
        <v>-4.2843980136819122E-2</v>
      </c>
      <c r="Q31" s="4">
        <v>18.400099999999998</v>
      </c>
      <c r="R31" s="4">
        <v>2.4121500000000001E-2</v>
      </c>
      <c r="S31" s="4">
        <v>4.5957600000000001E-2</v>
      </c>
      <c r="T31" s="4">
        <v>7.3834699447013818E-2</v>
      </c>
      <c r="U31" s="4">
        <v>104.1</v>
      </c>
      <c r="V31" s="5">
        <v>4.0999999999999995E-2</v>
      </c>
      <c r="W31" s="4">
        <v>258.97994</v>
      </c>
      <c r="X31" s="4">
        <v>3068.82</v>
      </c>
      <c r="Y31" s="4">
        <v>709.51199999999994</v>
      </c>
      <c r="Z31" s="4">
        <v>337.33</v>
      </c>
      <c r="AA31" s="5">
        <v>9.4999999999999998E-3</v>
      </c>
      <c r="AB31" s="5">
        <v>1.66E-2</v>
      </c>
      <c r="AC31" s="5">
        <v>5.6000000000000008E-3</v>
      </c>
      <c r="AD31" s="5">
        <v>6.9999999999999993E-3</v>
      </c>
      <c r="AE31" s="5">
        <v>1.3999999999999999E-2</v>
      </c>
    </row>
    <row r="32" spans="1:31" x14ac:dyDescent="0.3">
      <c r="A32" s="3">
        <v>44500</v>
      </c>
      <c r="B32" s="4">
        <v>1.46E-2</v>
      </c>
      <c r="C32" s="4">
        <v>1.4879999999999999E-2</v>
      </c>
      <c r="D32" s="4">
        <v>2.1070000000000002E-2</v>
      </c>
      <c r="E32" s="4">
        <v>2.4249999999999997E-2</v>
      </c>
      <c r="F32" s="4">
        <v>2.5619999999999997E-2</v>
      </c>
      <c r="G32" s="4">
        <v>1.7453611111111114E-2</v>
      </c>
      <c r="H32" s="4">
        <v>2.1850999999999999E-2</v>
      </c>
      <c r="I32" s="4">
        <v>1.9316E-2</v>
      </c>
      <c r="J32" s="4">
        <v>1.8725000000000002E-2</v>
      </c>
      <c r="K32" s="4">
        <v>2.2953000000000001E-2</v>
      </c>
      <c r="L32" s="4">
        <v>-9.4961736006374808E-3</v>
      </c>
      <c r="M32" s="4">
        <v>-3.1979718588904027E-2</v>
      </c>
      <c r="N32" s="4">
        <v>23.96</v>
      </c>
      <c r="O32" s="4">
        <v>-1.7044640600349159E-2</v>
      </c>
      <c r="P32" s="4">
        <v>5.0340233850872274E-2</v>
      </c>
      <c r="Q32" s="4">
        <v>19.2117</v>
      </c>
      <c r="R32" s="4">
        <v>3.1643039999999997E-2</v>
      </c>
      <c r="S32" s="4">
        <v>5.2192230000000006E-2</v>
      </c>
      <c r="T32" s="4">
        <v>8.6997221619585785E-2</v>
      </c>
      <c r="U32" s="4">
        <v>107.3</v>
      </c>
      <c r="V32" s="5">
        <v>4.0999999999999995E-2</v>
      </c>
      <c r="W32" s="4">
        <v>254.56572</v>
      </c>
      <c r="X32" s="4">
        <v>2970.68</v>
      </c>
      <c r="Y32" s="4">
        <v>745.22900000000004</v>
      </c>
      <c r="Z32" s="4">
        <v>336.90699999999998</v>
      </c>
      <c r="AA32" s="5">
        <v>1.06E-2</v>
      </c>
      <c r="AB32" s="5">
        <v>1.77E-2</v>
      </c>
      <c r="AC32" s="5">
        <v>6.6E-3</v>
      </c>
      <c r="AD32" s="5">
        <v>9.300000000000001E-3</v>
      </c>
      <c r="AE32" s="5">
        <v>1.61E-2</v>
      </c>
    </row>
    <row r="33" spans="1:31" x14ac:dyDescent="0.3">
      <c r="A33" s="3">
        <v>44530</v>
      </c>
      <c r="B33" s="4">
        <v>1.72E-2</v>
      </c>
      <c r="C33" s="4">
        <v>1.3180000000000001E-2</v>
      </c>
      <c r="D33" s="4">
        <v>1.787E-2</v>
      </c>
      <c r="E33" s="4">
        <v>1.9900000000000001E-2</v>
      </c>
      <c r="F33" s="4">
        <v>2.2040000000000001E-2</v>
      </c>
      <c r="G33" s="4">
        <v>1.7479722222222223E-2</v>
      </c>
      <c r="H33" s="4">
        <v>1.9876000000000001E-2</v>
      </c>
      <c r="I33" s="4">
        <v>1.813E-2</v>
      </c>
      <c r="J33" s="4">
        <v>1.8758999999999998E-2</v>
      </c>
      <c r="K33" s="4">
        <v>2.0493000000000001E-2</v>
      </c>
      <c r="L33" s="4">
        <v>-8.5628144226892466E-3</v>
      </c>
      <c r="M33" s="4">
        <v>-4.4323185263979825E-2</v>
      </c>
      <c r="N33" s="4">
        <v>23.15</v>
      </c>
      <c r="O33" s="4">
        <v>1.8305096224267681E-2</v>
      </c>
      <c r="P33" s="4">
        <v>-2.5088932395277208E-2</v>
      </c>
      <c r="Q33" s="4">
        <v>18.7468</v>
      </c>
      <c r="R33" s="4">
        <v>3.7766009999999996E-2</v>
      </c>
      <c r="S33" s="4">
        <v>5.8292080000000003E-2</v>
      </c>
      <c r="T33" s="4">
        <v>8.6997221619585785E-2</v>
      </c>
      <c r="U33" s="4">
        <v>108.2</v>
      </c>
      <c r="V33" s="5">
        <v>3.9E-2</v>
      </c>
      <c r="W33" s="4">
        <v>259.22557</v>
      </c>
      <c r="X33" s="4">
        <v>2839.01</v>
      </c>
      <c r="Y33" s="4">
        <v>726.53200000000004</v>
      </c>
      <c r="Z33" s="4">
        <v>339.363</v>
      </c>
      <c r="AA33" s="5">
        <v>1.03E-2</v>
      </c>
      <c r="AB33" s="5">
        <v>1.83E-2</v>
      </c>
      <c r="AC33" s="5">
        <v>5.7999999999999996E-3</v>
      </c>
      <c r="AD33" s="5">
        <v>1.0800000000000001E-2</v>
      </c>
      <c r="AE33" s="5">
        <v>1.72E-2</v>
      </c>
    </row>
    <row r="34" spans="1:31" x14ac:dyDescent="0.3">
      <c r="A34" s="3">
        <v>44561</v>
      </c>
      <c r="B34" s="4">
        <v>1.7899999999999999E-2</v>
      </c>
      <c r="C34" s="4">
        <v>1.3520000000000001E-2</v>
      </c>
      <c r="D34" s="4">
        <v>1.7950000000000001E-2</v>
      </c>
      <c r="E34" s="4">
        <v>2.0059999999999998E-2</v>
      </c>
      <c r="F34" s="4">
        <v>2.2550000000000001E-2</v>
      </c>
      <c r="G34" s="4">
        <v>1.7562777777777774E-2</v>
      </c>
      <c r="H34" s="4">
        <v>2.0145E-2</v>
      </c>
      <c r="I34" s="4">
        <v>1.8179000000000001E-2</v>
      </c>
      <c r="J34" s="4">
        <v>1.9591000000000001E-2</v>
      </c>
      <c r="K34" s="4">
        <v>2.0660999999999999E-2</v>
      </c>
      <c r="L34" s="4">
        <v>-1.5835818154790626E-2</v>
      </c>
      <c r="M34" s="4">
        <v>4.8833924501850978E-2</v>
      </c>
      <c r="N34" s="4">
        <v>24.33</v>
      </c>
      <c r="O34" s="4">
        <v>-1.4345421248375123E-3</v>
      </c>
      <c r="P34" s="4">
        <v>3.8946667180523198E-2</v>
      </c>
      <c r="Q34" s="4">
        <v>19.511299999999999</v>
      </c>
      <c r="R34" s="4">
        <v>3.6977969999999999E-2</v>
      </c>
      <c r="S34" s="4">
        <v>6.5211169999999999E-2</v>
      </c>
      <c r="T34" s="4">
        <v>8.6997221619585785E-2</v>
      </c>
      <c r="U34" s="4">
        <v>104.3</v>
      </c>
      <c r="V34" s="5">
        <v>3.7999999999999999E-2</v>
      </c>
      <c r="W34" s="4">
        <v>258.8537</v>
      </c>
      <c r="X34" s="4">
        <v>2977.65</v>
      </c>
      <c r="Y34" s="4">
        <v>754.82799999999997</v>
      </c>
      <c r="Z34" s="4">
        <v>337.65</v>
      </c>
      <c r="AA34" s="5">
        <v>1.1200000000000002E-2</v>
      </c>
      <c r="AB34" s="5">
        <v>1.8700000000000001E-2</v>
      </c>
      <c r="AC34" s="5">
        <v>6.8999999999999999E-3</v>
      </c>
      <c r="AD34" s="5">
        <v>1.21E-2</v>
      </c>
      <c r="AE34" s="5">
        <v>1.7600000000000001E-2</v>
      </c>
    </row>
    <row r="35" spans="1:31" x14ac:dyDescent="0.3">
      <c r="A35" s="3">
        <v>44592</v>
      </c>
      <c r="B35" s="4">
        <v>1.83E-2</v>
      </c>
      <c r="C35" s="4">
        <v>1.4630000000000001E-2</v>
      </c>
      <c r="D35" s="4">
        <v>2.1920000000000002E-2</v>
      </c>
      <c r="E35" s="4">
        <v>2.3969999999999998E-2</v>
      </c>
      <c r="F35" s="4">
        <v>2.5899999999999999E-2</v>
      </c>
      <c r="G35" s="4">
        <v>1.7727499999999997E-2</v>
      </c>
      <c r="H35" s="4">
        <v>2.2911000000000001E-2</v>
      </c>
      <c r="I35" s="4">
        <v>2.0611000000000001E-2</v>
      </c>
      <c r="J35" s="4">
        <v>1.9974000000000002E-2</v>
      </c>
      <c r="K35" s="4">
        <v>2.4230999999999999E-2</v>
      </c>
      <c r="L35" s="4">
        <v>-2.6969001047083552E-2</v>
      </c>
      <c r="M35" s="4">
        <v>-0.10555639514382144</v>
      </c>
      <c r="N35" s="4">
        <v>23.27</v>
      </c>
      <c r="O35" s="4">
        <v>-1.3470852454494642E-2</v>
      </c>
      <c r="P35" s="4">
        <v>-4.9617926203055503E-2</v>
      </c>
      <c r="Q35" s="4">
        <v>18.4892</v>
      </c>
      <c r="R35" s="4">
        <v>3.7707839999999999E-2</v>
      </c>
      <c r="S35" s="4">
        <v>7.1399850000000001E-2</v>
      </c>
      <c r="T35" s="4">
        <v>8.2007126896241012E-2</v>
      </c>
      <c r="U35" s="4">
        <v>104.9</v>
      </c>
      <c r="V35" s="5">
        <v>4.7E-2</v>
      </c>
      <c r="W35" s="4">
        <v>255.36671999999999</v>
      </c>
      <c r="X35" s="4">
        <v>2663.34</v>
      </c>
      <c r="Y35" s="4">
        <v>717.375</v>
      </c>
      <c r="Z35" s="4">
        <v>331.75200000000001</v>
      </c>
      <c r="AA35" s="5">
        <v>1.37E-2</v>
      </c>
      <c r="AB35" s="5">
        <v>2.2099999999999998E-2</v>
      </c>
      <c r="AC35" s="5">
        <v>8.8999999999999999E-3</v>
      </c>
      <c r="AD35" s="5">
        <v>1.7100000000000001E-2</v>
      </c>
      <c r="AE35" s="5">
        <v>2.2499999999999999E-2</v>
      </c>
    </row>
    <row r="36" spans="1:31" x14ac:dyDescent="0.3">
      <c r="A36" s="3">
        <v>44620</v>
      </c>
      <c r="B36" s="4">
        <v>1.9099999999999999E-2</v>
      </c>
      <c r="C36" s="4">
        <v>1.502E-2</v>
      </c>
      <c r="D36" s="4">
        <v>2.2450000000000001E-2</v>
      </c>
      <c r="E36" s="4">
        <v>2.4700000000000003E-2</v>
      </c>
      <c r="F36" s="4">
        <v>2.6849999999999999E-2</v>
      </c>
      <c r="G36" s="4">
        <v>1.7921666666666666E-2</v>
      </c>
      <c r="H36" s="4">
        <v>2.3546000000000001E-2</v>
      </c>
      <c r="I36" s="4">
        <v>2.1269E-2</v>
      </c>
      <c r="J36" s="4">
        <v>2.0194E-2</v>
      </c>
      <c r="K36" s="4">
        <v>2.4917999999999999E-2</v>
      </c>
      <c r="L36" s="4">
        <v>-2.2942780430841636E-2</v>
      </c>
      <c r="M36" s="4">
        <v>1.3456787342209342E-2</v>
      </c>
      <c r="N36" s="4">
        <v>20.14</v>
      </c>
      <c r="O36" s="4">
        <v>-3.0254921236407828E-3</v>
      </c>
      <c r="P36" s="4">
        <v>-2.698031015856428E-2</v>
      </c>
      <c r="Q36" s="4">
        <v>16.790900000000001</v>
      </c>
      <c r="R36" s="4">
        <v>3.7802719999999998E-2</v>
      </c>
      <c r="S36" s="4">
        <v>7.7196670000000009E-2</v>
      </c>
      <c r="T36" s="4">
        <v>8.2007126896241012E-2</v>
      </c>
      <c r="U36" s="4">
        <v>103.5</v>
      </c>
      <c r="V36" s="5">
        <v>4.9000000000000002E-2</v>
      </c>
      <c r="W36" s="4">
        <v>254.59411</v>
      </c>
      <c r="X36" s="4">
        <v>2699.18</v>
      </c>
      <c r="Y36" s="4">
        <v>698.02</v>
      </c>
      <c r="Z36" s="4">
        <v>327.15100000000001</v>
      </c>
      <c r="AA36" s="5">
        <v>1.61E-2</v>
      </c>
      <c r="AB36" s="5">
        <v>2.6200000000000001E-2</v>
      </c>
      <c r="AC36" s="5">
        <v>1.06E-2</v>
      </c>
      <c r="AD36" s="5">
        <v>2.2099999999999998E-2</v>
      </c>
      <c r="AE36" s="5">
        <v>2.6000000000000002E-2</v>
      </c>
    </row>
    <row r="37" spans="1:31" x14ac:dyDescent="0.3">
      <c r="A37" s="3">
        <v>44651</v>
      </c>
      <c r="B37" s="4">
        <v>1.9299999999999998E-2</v>
      </c>
      <c r="C37" s="4">
        <v>1.8069999999999999E-2</v>
      </c>
      <c r="D37" s="4">
        <v>2.6619999999999998E-2</v>
      </c>
      <c r="E37" s="4">
        <v>2.8549999999999999E-2</v>
      </c>
      <c r="F37" s="4">
        <v>2.9649999999999999E-2</v>
      </c>
      <c r="G37" s="4">
        <v>1.8236944444444441E-2</v>
      </c>
      <c r="H37" s="4">
        <v>2.6591999999999998E-2</v>
      </c>
      <c r="I37" s="4">
        <v>2.4087999999999998E-2</v>
      </c>
      <c r="J37" s="4">
        <v>1.9466000000000001E-2</v>
      </c>
      <c r="K37" s="4">
        <v>2.8944000000000001E-2</v>
      </c>
      <c r="L37" s="4">
        <v>-4.1183489429061249E-2</v>
      </c>
      <c r="M37" s="4">
        <v>2.1662134426011059E-2</v>
      </c>
      <c r="N37" s="4">
        <v>10.75</v>
      </c>
      <c r="O37" s="4">
        <v>-1.2658894583225E-2</v>
      </c>
      <c r="P37" s="4">
        <v>1.9394859746139081E-2</v>
      </c>
      <c r="Q37" s="4">
        <v>17.119199999999999</v>
      </c>
      <c r="R37" s="4">
        <v>4.1830319999999997E-2</v>
      </c>
      <c r="S37" s="4">
        <v>8.7069010000000002E-2</v>
      </c>
      <c r="T37" s="4">
        <v>8.2007126896241012E-2</v>
      </c>
      <c r="U37" s="4">
        <v>103.7</v>
      </c>
      <c r="V37" s="5">
        <v>0.05</v>
      </c>
      <c r="W37" s="4">
        <v>251.37123</v>
      </c>
      <c r="X37" s="4">
        <v>2757.65</v>
      </c>
      <c r="Y37" s="4">
        <v>711.55799999999999</v>
      </c>
      <c r="Z37" s="4">
        <v>319.81900000000002</v>
      </c>
      <c r="AA37" s="5">
        <v>2.0499999999999997E-2</v>
      </c>
      <c r="AB37" s="5">
        <v>3.0600000000000002E-2</v>
      </c>
      <c r="AC37" s="5">
        <v>1.4800000000000001E-2</v>
      </c>
      <c r="AD37" s="5">
        <v>2.86E-2</v>
      </c>
      <c r="AE37" s="5">
        <v>3.3300000000000003E-2</v>
      </c>
    </row>
    <row r="38" spans="1:31" x14ac:dyDescent="0.3">
      <c r="A38" s="3">
        <v>44681</v>
      </c>
      <c r="B38" s="4">
        <v>2.1000000000000001E-2</v>
      </c>
      <c r="C38" s="4">
        <v>1.9650000000000001E-2</v>
      </c>
      <c r="D38" s="4">
        <v>2.9600000000000001E-2</v>
      </c>
      <c r="E38" s="4">
        <v>3.1699999999999999E-2</v>
      </c>
      <c r="F38" s="4">
        <v>3.2349999999999997E-2</v>
      </c>
      <c r="G38" s="4">
        <v>1.8623055555555552E-2</v>
      </c>
      <c r="H38" s="4">
        <v>2.9576999999999999E-2</v>
      </c>
      <c r="I38" s="4">
        <v>2.7900999999999999E-2</v>
      </c>
      <c r="J38" s="4">
        <v>2.0093999999999997E-2</v>
      </c>
      <c r="K38" s="4">
        <v>3.2670999999999999E-2</v>
      </c>
      <c r="L38" s="4">
        <v>-7.2613128391461279E-2</v>
      </c>
      <c r="M38" s="4">
        <v>-2.2700487734121366E-2</v>
      </c>
      <c r="N38" s="4">
        <v>10.199999999999999</v>
      </c>
      <c r="O38" s="4">
        <v>-1.4044009730150853E-2</v>
      </c>
      <c r="P38" s="4">
        <v>-8.1358090275142625E-2</v>
      </c>
      <c r="Q38" s="4">
        <v>15.867800000000001</v>
      </c>
      <c r="R38" s="4">
        <v>4.7558349999999999E-2</v>
      </c>
      <c r="S38" s="4">
        <v>9.1536060000000002E-2</v>
      </c>
      <c r="T38" s="4">
        <v>7.6924419095095731E-2</v>
      </c>
      <c r="U38" s="4">
        <v>104.3</v>
      </c>
      <c r="V38" s="5">
        <v>5.2000000000000005E-2</v>
      </c>
      <c r="W38" s="4">
        <v>247.84097</v>
      </c>
      <c r="X38" s="4">
        <v>2695.05</v>
      </c>
      <c r="Y38" s="4">
        <v>653.66700000000003</v>
      </c>
      <c r="Z38" s="4">
        <v>310.363</v>
      </c>
      <c r="AA38" s="5">
        <v>2.4900000000000002E-2</v>
      </c>
      <c r="AB38" s="5">
        <v>3.6499999999999998E-2</v>
      </c>
      <c r="AC38" s="5">
        <v>1.83E-2</v>
      </c>
      <c r="AD38" s="5">
        <v>3.4300000000000004E-2</v>
      </c>
      <c r="AE38" s="5">
        <v>3.9800000000000002E-2</v>
      </c>
    </row>
    <row r="39" spans="1:31" x14ac:dyDescent="0.3">
      <c r="A39" s="3">
        <v>44712</v>
      </c>
      <c r="B39" s="4">
        <v>2.2200000000000001E-2</v>
      </c>
      <c r="C39" s="4">
        <v>2.155E-2</v>
      </c>
      <c r="D39" s="4">
        <v>3.031E-2</v>
      </c>
      <c r="E39" s="4">
        <v>3.252E-2</v>
      </c>
      <c r="F39" s="4">
        <v>3.3300000000000003E-2</v>
      </c>
      <c r="G39" s="4">
        <v>1.9084444444444442E-2</v>
      </c>
      <c r="H39" s="4">
        <v>3.0764999999999997E-2</v>
      </c>
      <c r="I39" s="4">
        <v>2.9297E-2</v>
      </c>
      <c r="J39" s="4">
        <v>2.0412E-2</v>
      </c>
      <c r="K39" s="4">
        <v>3.3473000000000003E-2</v>
      </c>
      <c r="L39" s="4">
        <v>-7.6810673632917936E-2</v>
      </c>
      <c r="M39" s="4">
        <v>-3.395113263204852E-3</v>
      </c>
      <c r="N39" s="4">
        <v>10.17</v>
      </c>
      <c r="O39" s="4">
        <v>3.4780367426745507E-4</v>
      </c>
      <c r="P39" s="4">
        <v>-1.3049457904408257E-3</v>
      </c>
      <c r="Q39" s="4">
        <v>15.8131</v>
      </c>
      <c r="R39" s="4">
        <v>5.3405189999999998E-2</v>
      </c>
      <c r="S39" s="4">
        <v>9.649605E-2</v>
      </c>
      <c r="T39" s="4">
        <v>7.6924419095095731E-2</v>
      </c>
      <c r="U39" s="4">
        <v>103.1</v>
      </c>
      <c r="V39" s="5">
        <v>5.4000000000000006E-2</v>
      </c>
      <c r="W39" s="4">
        <v>247.92716999999999</v>
      </c>
      <c r="X39" s="4">
        <v>2685.9</v>
      </c>
      <c r="Y39" s="4">
        <v>652.81399999999996</v>
      </c>
      <c r="Z39" s="4">
        <v>309.57400000000001</v>
      </c>
      <c r="AA39" s="5">
        <v>2.53E-2</v>
      </c>
      <c r="AB39" s="5">
        <v>3.7400000000000003E-2</v>
      </c>
      <c r="AC39" s="5">
        <v>1.8700000000000001E-2</v>
      </c>
      <c r="AD39" s="5">
        <v>3.3399999999999999E-2</v>
      </c>
      <c r="AE39" s="5">
        <v>3.9E-2</v>
      </c>
    </row>
    <row r="40" spans="1:31" x14ac:dyDescent="0.3">
      <c r="A40" s="3">
        <v>44742</v>
      </c>
      <c r="B40" s="4">
        <v>2.7300000000000001E-2</v>
      </c>
      <c r="C40" s="4">
        <v>3.0099999999999998E-2</v>
      </c>
      <c r="D40" s="4">
        <v>3.5529999999999999E-2</v>
      </c>
      <c r="E40" s="4">
        <v>3.6469999999999995E-2</v>
      </c>
      <c r="F40" s="4">
        <v>3.6220000000000002E-2</v>
      </c>
      <c r="G40" s="4">
        <v>1.9647499999999998E-2</v>
      </c>
      <c r="H40" s="4">
        <v>3.6091999999999999E-2</v>
      </c>
      <c r="I40" s="4">
        <v>3.8267999999999996E-2</v>
      </c>
      <c r="J40" s="4">
        <v>2.1869999999999997E-2</v>
      </c>
      <c r="K40" s="4">
        <v>3.9643999999999999E-2</v>
      </c>
      <c r="L40" s="4">
        <v>-9.6187300881677484E-2</v>
      </c>
      <c r="M40" s="4">
        <v>-0.13152388398674564</v>
      </c>
      <c r="N40" s="4">
        <v>8.83</v>
      </c>
      <c r="O40" s="4">
        <v>-1.7437177216196198E-2</v>
      </c>
      <c r="P40" s="4">
        <v>-8.5843747223558253E-2</v>
      </c>
      <c r="Q40" s="4">
        <v>14.5182</v>
      </c>
      <c r="R40" s="4">
        <v>6.0362569999999997E-2</v>
      </c>
      <c r="S40" s="4">
        <v>0.1027965</v>
      </c>
      <c r="T40" s="4">
        <v>7.6924419095095731E-2</v>
      </c>
      <c r="U40" s="4">
        <v>96.8</v>
      </c>
      <c r="V40" s="5">
        <v>5.4000000000000006E-2</v>
      </c>
      <c r="W40" s="4">
        <v>243.60401999999999</v>
      </c>
      <c r="X40" s="4">
        <v>2332.64</v>
      </c>
      <c r="Y40" s="4">
        <v>596.774</v>
      </c>
      <c r="Z40" s="4">
        <v>304.96899999999999</v>
      </c>
      <c r="AA40" s="5">
        <v>2.8500000000000001E-2</v>
      </c>
      <c r="AB40" s="5">
        <v>4.2599999999999999E-2</v>
      </c>
      <c r="AC40" s="5">
        <v>2.12E-2</v>
      </c>
      <c r="AD40" s="5">
        <v>3.9699999999999999E-2</v>
      </c>
      <c r="AE40" s="5">
        <v>4.4299999999999999E-2</v>
      </c>
    </row>
    <row r="41" spans="1:31" x14ac:dyDescent="0.3">
      <c r="A41" s="3">
        <v>44773</v>
      </c>
      <c r="B41" s="4">
        <v>3.3300000000000003E-2</v>
      </c>
      <c r="C41" s="4">
        <v>2.8999999999999998E-2</v>
      </c>
      <c r="D41" s="4">
        <v>2.997E-2</v>
      </c>
      <c r="E41" s="4">
        <v>3.0550000000000001E-2</v>
      </c>
      <c r="F41" s="4">
        <v>3.125E-2</v>
      </c>
      <c r="G41" s="4">
        <v>2.0130833333333334E-2</v>
      </c>
      <c r="H41" s="4">
        <v>3.3147999999999997E-2</v>
      </c>
      <c r="I41" s="4">
        <v>3.5361999999999998E-2</v>
      </c>
      <c r="J41" s="4">
        <v>2.2546E-2</v>
      </c>
      <c r="K41" s="4">
        <v>3.5089000000000002E-2</v>
      </c>
      <c r="L41" s="4">
        <v>-8.3659074339221595E-2</v>
      </c>
      <c r="M41" s="4">
        <v>5.0955140956169931E-2</v>
      </c>
      <c r="N41" s="4">
        <v>9.3000000000000007</v>
      </c>
      <c r="O41" s="4">
        <v>2.5910450903068094E-2</v>
      </c>
      <c r="P41" s="4">
        <v>6.8607211440176563E-2</v>
      </c>
      <c r="Q41" s="4">
        <v>15.685700000000001</v>
      </c>
      <c r="R41" s="4">
        <v>6.3270099999999996E-2</v>
      </c>
      <c r="S41" s="4">
        <v>0.10259180000000001</v>
      </c>
      <c r="T41" s="4">
        <v>6.8416288824989291E-2</v>
      </c>
      <c r="U41" s="4">
        <v>86.2</v>
      </c>
      <c r="V41" s="5">
        <v>5.2999999999999999E-2</v>
      </c>
      <c r="W41" s="4">
        <v>249.91591</v>
      </c>
      <c r="X41" s="4">
        <v>2451.5</v>
      </c>
      <c r="Y41" s="4">
        <v>637.71699999999998</v>
      </c>
      <c r="Z41" s="4">
        <v>312.95699999999999</v>
      </c>
      <c r="AA41" s="5">
        <v>2.5499999999999998E-2</v>
      </c>
      <c r="AB41" s="5">
        <v>3.8399999999999997E-2</v>
      </c>
      <c r="AC41" s="5">
        <v>1.8799999999999997E-2</v>
      </c>
      <c r="AD41" s="5">
        <v>3.8300000000000001E-2</v>
      </c>
      <c r="AE41" s="5">
        <v>4.0500000000000001E-2</v>
      </c>
    </row>
    <row r="42" spans="1:31" x14ac:dyDescent="0.3">
      <c r="A42" s="3">
        <v>44804</v>
      </c>
      <c r="B42" s="4">
        <v>3.3599999999999998E-2</v>
      </c>
      <c r="C42" s="4">
        <v>3.2669999999999998E-2</v>
      </c>
      <c r="D42" s="4">
        <v>3.678E-2</v>
      </c>
      <c r="E42" s="4">
        <v>3.7749999999999999E-2</v>
      </c>
      <c r="F42" s="4">
        <v>3.712E-2</v>
      </c>
      <c r="G42" s="4">
        <v>2.0802222222222225E-2</v>
      </c>
      <c r="H42" s="4">
        <v>3.8512999999999999E-2</v>
      </c>
      <c r="I42" s="4">
        <v>3.9981000000000003E-2</v>
      </c>
      <c r="J42" s="4">
        <v>2.3264E-2</v>
      </c>
      <c r="K42" s="4">
        <v>4.1725999999999999E-2</v>
      </c>
      <c r="L42" s="4">
        <v>-0.10878699145008242</v>
      </c>
      <c r="M42" s="4">
        <v>8.3826228839487538E-3</v>
      </c>
      <c r="N42" s="4">
        <v>9.3699999999999992</v>
      </c>
      <c r="O42" s="4">
        <v>-2.6837026902368888E-2</v>
      </c>
      <c r="P42" s="4">
        <v>-3.8590785567892971E-2</v>
      </c>
      <c r="Q42" s="4">
        <v>15.212999999999999</v>
      </c>
      <c r="R42" s="4">
        <v>5.7226280000000004E-2</v>
      </c>
      <c r="S42" s="4">
        <v>0.1027583</v>
      </c>
      <c r="T42" s="4">
        <v>6.8416288824989291E-2</v>
      </c>
      <c r="U42" s="4">
        <v>89</v>
      </c>
      <c r="V42" s="5">
        <v>5.2999999999999999E-2</v>
      </c>
      <c r="W42" s="4">
        <v>243.20891</v>
      </c>
      <c r="X42" s="4">
        <v>2472.0500000000002</v>
      </c>
      <c r="Y42" s="4">
        <v>613.10699999999997</v>
      </c>
      <c r="Z42" s="4">
        <v>303.745</v>
      </c>
      <c r="AA42" s="5">
        <v>3.0899999999999997E-2</v>
      </c>
      <c r="AB42" s="5">
        <v>4.4500000000000005E-2</v>
      </c>
      <c r="AC42" s="5">
        <v>2.3700000000000002E-2</v>
      </c>
      <c r="AD42" s="5">
        <v>4.3099999999999999E-2</v>
      </c>
      <c r="AE42" s="5">
        <v>4.58E-2</v>
      </c>
    </row>
    <row r="43" spans="1:31" x14ac:dyDescent="0.3">
      <c r="A43" s="3">
        <v>44834</v>
      </c>
      <c r="B43" s="4">
        <v>3.8300000000000001E-2</v>
      </c>
      <c r="C43" s="4">
        <v>3.3860000000000001E-2</v>
      </c>
      <c r="D43" s="4">
        <v>4.1849999999999998E-2</v>
      </c>
      <c r="E43" s="4">
        <v>4.1759999999999999E-2</v>
      </c>
      <c r="F43" s="4">
        <v>4.0819999999999995E-2</v>
      </c>
      <c r="G43" s="4">
        <v>2.1530555555555556E-2</v>
      </c>
      <c r="H43" s="4">
        <v>4.3070000000000004E-2</v>
      </c>
      <c r="I43" s="4">
        <v>4.5744999999999994E-2</v>
      </c>
      <c r="J43" s="4">
        <v>2.3185999999999998E-2</v>
      </c>
      <c r="K43" s="4">
        <v>4.7830999999999999E-2</v>
      </c>
      <c r="L43" s="4">
        <v>-0.13283135208845931</v>
      </c>
      <c r="M43" s="4">
        <v>-0.12805566230456522</v>
      </c>
      <c r="N43" s="4">
        <v>8.18</v>
      </c>
      <c r="O43" s="4">
        <v>-1.6433772923862056E-2</v>
      </c>
      <c r="P43" s="4">
        <v>-9.7431606554810202E-2</v>
      </c>
      <c r="Q43" s="4">
        <v>13.940099999999999</v>
      </c>
      <c r="R43" s="4">
        <v>5.4763979999999997E-2</v>
      </c>
      <c r="S43" s="4">
        <v>0.10533279999999999</v>
      </c>
      <c r="T43" s="4">
        <v>6.8416288824989291E-2</v>
      </c>
      <c r="U43" s="4">
        <v>91.6</v>
      </c>
      <c r="V43" s="5">
        <v>5.2000000000000005E-2</v>
      </c>
      <c r="W43" s="4">
        <v>239.21207000000001</v>
      </c>
      <c r="X43" s="4">
        <v>2155.4899999999998</v>
      </c>
      <c r="Y43" s="4">
        <v>553.37099999999998</v>
      </c>
      <c r="Z43" s="4">
        <v>292.52199999999999</v>
      </c>
      <c r="AA43" s="5">
        <v>3.7699999999999997E-2</v>
      </c>
      <c r="AB43" s="5">
        <v>5.3200000000000004E-2</v>
      </c>
      <c r="AC43" s="5">
        <v>2.9399999999999999E-2</v>
      </c>
      <c r="AD43" s="5">
        <v>5.2900000000000003E-2</v>
      </c>
      <c r="AE43" s="5">
        <v>5.5800000000000002E-2</v>
      </c>
    </row>
    <row r="44" spans="1:31" x14ac:dyDescent="0.3">
      <c r="A44" s="3">
        <v>44865</v>
      </c>
      <c r="B44" s="4">
        <v>4.4900000000000002E-2</v>
      </c>
      <c r="C44" s="4">
        <v>3.805E-2</v>
      </c>
      <c r="D44" s="4">
        <v>4.1749999999999995E-2</v>
      </c>
      <c r="E44" s="4">
        <v>4.2460000000000005E-2</v>
      </c>
      <c r="F44" s="4">
        <v>4.2270000000000002E-2</v>
      </c>
      <c r="G44" s="4">
        <v>2.2224166666666666E-2</v>
      </c>
      <c r="H44" s="4">
        <v>4.6050000000000008E-2</v>
      </c>
      <c r="I44" s="4">
        <v>4.9118000000000002E-2</v>
      </c>
      <c r="J44" s="4">
        <v>2.3919000000000003E-2</v>
      </c>
      <c r="K44" s="4">
        <v>4.9806999999999997E-2</v>
      </c>
      <c r="L44" s="4">
        <v>-0.13645605463822352</v>
      </c>
      <c r="M44" s="4">
        <v>6.4078237430932328E-2</v>
      </c>
      <c r="N44" s="4">
        <v>8.7200000000000006</v>
      </c>
      <c r="O44" s="4">
        <v>-6.9517813210681068E-3</v>
      </c>
      <c r="P44" s="4">
        <v>5.9639916078001898E-2</v>
      </c>
      <c r="Q44" s="4">
        <v>14.9884</v>
      </c>
      <c r="R44" s="4">
        <v>5.6216739999999994E-2</v>
      </c>
      <c r="S44" s="4">
        <v>0.10658010000000001</v>
      </c>
      <c r="T44" s="4">
        <v>4.1305489307099874E-2</v>
      </c>
      <c r="U44" s="4">
        <v>89</v>
      </c>
      <c r="V44" s="5">
        <v>5.0999999999999997E-2</v>
      </c>
      <c r="W44" s="4">
        <v>237.54911999999999</v>
      </c>
      <c r="X44" s="4">
        <v>2293.61</v>
      </c>
      <c r="Y44" s="4">
        <v>586.37400000000002</v>
      </c>
      <c r="Z44" s="4">
        <v>290.93400000000003</v>
      </c>
      <c r="AA44" s="5">
        <v>3.9100000000000003E-2</v>
      </c>
      <c r="AB44" s="5">
        <v>5.5099999999999996E-2</v>
      </c>
      <c r="AC44" s="5">
        <v>3.0499999999999999E-2</v>
      </c>
      <c r="AD44" s="5">
        <v>5.6500000000000002E-2</v>
      </c>
      <c r="AE44" s="5">
        <v>5.8499999999999996E-2</v>
      </c>
    </row>
    <row r="45" spans="1:31" x14ac:dyDescent="0.3">
      <c r="A45" s="3">
        <v>44895</v>
      </c>
      <c r="B45" s="4">
        <v>4.9500000000000002E-2</v>
      </c>
      <c r="C45" s="4">
        <v>3.7220000000000003E-2</v>
      </c>
      <c r="D45" s="4">
        <v>3.705E-2</v>
      </c>
      <c r="E45" s="4">
        <v>3.705E-2</v>
      </c>
      <c r="F45" s="4">
        <v>3.6799999999999999E-2</v>
      </c>
      <c r="G45" s="4">
        <v>2.2792222222222221E-2</v>
      </c>
      <c r="H45" s="4">
        <v>4.3754999999999995E-2</v>
      </c>
      <c r="I45" s="4">
        <v>4.8074000000000006E-2</v>
      </c>
      <c r="J45" s="4">
        <v>2.4517999999999998E-2</v>
      </c>
      <c r="K45" s="4">
        <v>4.6605999999999995E-2</v>
      </c>
      <c r="L45" s="4">
        <v>-0.11829515887117914</v>
      </c>
      <c r="M45" s="4">
        <v>7.8008031007887224E-2</v>
      </c>
      <c r="N45" s="4">
        <v>9.39</v>
      </c>
      <c r="O45" s="4">
        <v>2.1554615735895011E-2</v>
      </c>
      <c r="P45" s="4">
        <v>7.5965168987710774E-2</v>
      </c>
      <c r="Q45" s="4">
        <v>16.067900000000002</v>
      </c>
      <c r="R45" s="4">
        <v>5.0062579999999995E-2</v>
      </c>
      <c r="S45" s="4">
        <v>0.10262930000000001</v>
      </c>
      <c r="T45" s="4">
        <v>4.1305489307099874E-2</v>
      </c>
      <c r="U45" s="4">
        <v>86.6</v>
      </c>
      <c r="V45" s="5">
        <v>0.05</v>
      </c>
      <c r="W45" s="4">
        <v>242.6694</v>
      </c>
      <c r="X45" s="4">
        <v>2472.5300000000002</v>
      </c>
      <c r="Y45" s="4">
        <v>630.91800000000001</v>
      </c>
      <c r="Z45" s="4">
        <v>299.21800000000002</v>
      </c>
      <c r="AA45" s="5">
        <v>3.5900000000000001E-2</v>
      </c>
      <c r="AB45" s="5">
        <v>4.99E-2</v>
      </c>
      <c r="AC45" s="5">
        <v>2.8199999999999999E-2</v>
      </c>
      <c r="AD45" s="5">
        <v>5.2300000000000006E-2</v>
      </c>
      <c r="AE45" s="5">
        <v>5.2300000000000006E-2</v>
      </c>
    </row>
    <row r="46" spans="1:31" s="2" customFormat="1" x14ac:dyDescent="0.3">
      <c r="A46" s="3">
        <v>44926</v>
      </c>
      <c r="B46" s="4">
        <v>4.6300000000000001E-2</v>
      </c>
      <c r="C46" s="4">
        <v>3.7479999999999999E-2</v>
      </c>
      <c r="D46" s="4">
        <v>3.7249999999999998E-2</v>
      </c>
      <c r="E46" s="4">
        <v>3.7379999999999997E-2</v>
      </c>
      <c r="F46" s="4">
        <v>3.7350000000000001E-2</v>
      </c>
      <c r="G46" s="4">
        <v>2.336527777777778E-2</v>
      </c>
      <c r="H46" s="4">
        <v>4.2163000000000006E-2</v>
      </c>
      <c r="I46" s="4">
        <v>4.4738E-2</v>
      </c>
      <c r="J46" s="4">
        <v>2.5932E-2</v>
      </c>
      <c r="K46" s="4">
        <v>4.4406000000000001E-2</v>
      </c>
      <c r="L46" s="4">
        <v>-0.12509403228194882</v>
      </c>
      <c r="M46" s="4">
        <v>-9.550136904304507E-2</v>
      </c>
      <c r="N46" s="4">
        <v>8.4600000000000009</v>
      </c>
      <c r="O46" s="4">
        <v>7.3872931651044471E-3</v>
      </c>
      <c r="P46" s="4">
        <v>-4.0474356413987334E-2</v>
      </c>
      <c r="Q46" s="4">
        <v>15.238099999999999</v>
      </c>
      <c r="R46" s="4">
        <v>5.0173009999999997E-2</v>
      </c>
      <c r="S46" s="4">
        <v>9.3750239999999999E-2</v>
      </c>
      <c r="T46" s="4">
        <v>4.1305489307099874E-2</v>
      </c>
      <c r="U46" s="4">
        <v>90.1</v>
      </c>
      <c r="V46" s="5">
        <v>4.7E-2</v>
      </c>
      <c r="W46" s="4">
        <v>244.46207000000001</v>
      </c>
      <c r="X46" s="4">
        <v>2236.4</v>
      </c>
      <c r="Y46" s="4">
        <v>605.38199999999995</v>
      </c>
      <c r="Z46" s="4">
        <v>295.41199999999998</v>
      </c>
      <c r="AA46" s="5">
        <v>3.7999999999999999E-2</v>
      </c>
      <c r="AB46" s="5">
        <v>5.1299999999999998E-2</v>
      </c>
      <c r="AC46" s="5">
        <v>3.0499999999999999E-2</v>
      </c>
      <c r="AD46" s="5">
        <v>5.3499999999999999E-2</v>
      </c>
      <c r="AE46" s="5">
        <v>5.3399999999999996E-2</v>
      </c>
    </row>
    <row r="47" spans="1:31" s="2" customFormat="1" x14ac:dyDescent="0.3">
      <c r="A47" s="3">
        <v>44957</v>
      </c>
      <c r="B47" s="4">
        <v>4.1500000000000002E-2</v>
      </c>
      <c r="C47" s="4">
        <v>3.4630000000000001E-2</v>
      </c>
      <c r="D47" s="4">
        <v>3.3149999999999999E-2</v>
      </c>
      <c r="E47" s="4">
        <v>3.2850000000000004E-2</v>
      </c>
      <c r="F47" s="4">
        <v>3.2799999999999996E-2</v>
      </c>
      <c r="G47" s="4">
        <v>2.3842500000000003E-2</v>
      </c>
      <c r="H47" s="4">
        <v>3.6581000000000002E-2</v>
      </c>
      <c r="I47" s="4">
        <v>3.8698999999999997E-2</v>
      </c>
      <c r="J47" s="4">
        <v>2.6842000000000001E-2</v>
      </c>
      <c r="K47" s="4">
        <v>3.7635000000000002E-2</v>
      </c>
      <c r="L47" s="4">
        <v>-8.7945212086136593E-2</v>
      </c>
      <c r="M47" s="4">
        <v>8.436773385798603E-2</v>
      </c>
      <c r="N47" s="4">
        <v>9.17</v>
      </c>
      <c r="O47" s="4">
        <v>2.8330652685711222E-2</v>
      </c>
      <c r="P47" s="4">
        <v>7.1001450323927795E-2</v>
      </c>
      <c r="Q47" s="4">
        <v>16.4696</v>
      </c>
      <c r="R47" s="4">
        <v>4.9785410000000002E-2</v>
      </c>
      <c r="S47" s="4">
        <v>9.1711639999999997E-2</v>
      </c>
      <c r="T47" s="4">
        <v>4.2125868747816098E-2</v>
      </c>
      <c r="U47" s="4">
        <v>90.7</v>
      </c>
      <c r="V47" s="5">
        <v>4.8000000000000001E-2</v>
      </c>
      <c r="W47" s="4">
        <v>251.38784000000001</v>
      </c>
      <c r="X47" s="4">
        <v>2425.08</v>
      </c>
      <c r="Y47" s="4">
        <v>648.36500000000001</v>
      </c>
      <c r="Z47" s="4">
        <v>302.57600000000002</v>
      </c>
      <c r="AA47" s="5">
        <v>3.5400000000000001E-2</v>
      </c>
      <c r="AB47" s="5">
        <v>4.7500000000000001E-2</v>
      </c>
      <c r="AC47" s="5">
        <v>2.86E-2</v>
      </c>
      <c r="AD47" s="5">
        <v>5.0099999999999999E-2</v>
      </c>
      <c r="AE47" s="5">
        <v>4.8499999999999995E-2</v>
      </c>
    </row>
    <row r="48" spans="1:31" s="2" customFormat="1" x14ac:dyDescent="0.3">
      <c r="A48" s="3">
        <v>44985</v>
      </c>
      <c r="B48" s="4">
        <v>3.7200000000000004E-2</v>
      </c>
      <c r="C48" s="4">
        <v>3.703E-2</v>
      </c>
      <c r="D48" s="4">
        <v>3.8100000000000002E-2</v>
      </c>
      <c r="E48" s="4">
        <v>3.8300000000000001E-2</v>
      </c>
      <c r="F48" s="4">
        <v>3.7599999999999995E-2</v>
      </c>
      <c r="G48" s="4">
        <v>2.4518333333333336E-2</v>
      </c>
      <c r="H48" s="4">
        <v>3.9646000000000001E-2</v>
      </c>
      <c r="I48" s="4">
        <v>4.1262999999999994E-2</v>
      </c>
      <c r="J48" s="4">
        <v>2.75E-2</v>
      </c>
      <c r="K48" s="4">
        <v>4.1195000000000002E-2</v>
      </c>
      <c r="L48" s="4">
        <v>-9.1786361649513593E-2</v>
      </c>
      <c r="M48" s="4">
        <v>-5.0431325976875163E-3</v>
      </c>
      <c r="N48" s="4">
        <v>8.4700000000000006</v>
      </c>
      <c r="O48" s="4">
        <v>-1.5348514868499641E-2</v>
      </c>
      <c r="P48" s="4">
        <v>-2.9831961935021134E-2</v>
      </c>
      <c r="Q48" s="4">
        <v>15.5983</v>
      </c>
      <c r="R48" s="4">
        <v>4.6575600000000002E-2</v>
      </c>
      <c r="S48" s="4">
        <v>8.8482640000000001E-2</v>
      </c>
      <c r="T48" s="4">
        <v>4.2125868747816098E-2</v>
      </c>
      <c r="U48" s="4">
        <v>90.2</v>
      </c>
      <c r="V48" s="5">
        <v>4.9000000000000002E-2</v>
      </c>
      <c r="W48" s="4">
        <v>247.52941000000001</v>
      </c>
      <c r="X48" s="4">
        <v>2412.85</v>
      </c>
      <c r="Y48" s="4">
        <v>629.02300000000002</v>
      </c>
      <c r="Z48" s="4">
        <v>297.12299999999999</v>
      </c>
      <c r="AA48" s="5">
        <v>3.9399999999999998E-2</v>
      </c>
      <c r="AB48" s="5">
        <v>5.2300000000000006E-2</v>
      </c>
      <c r="AC48" s="5">
        <v>3.2000000000000001E-2</v>
      </c>
      <c r="AD48" s="5">
        <v>5.5599999999999997E-2</v>
      </c>
      <c r="AE48" s="5">
        <v>5.4699999999999999E-2</v>
      </c>
    </row>
    <row r="49" spans="1:31" s="2" customFormat="1" x14ac:dyDescent="0.3">
      <c r="A49" s="3">
        <v>45016</v>
      </c>
      <c r="B49" s="4">
        <v>3.6799999999999999E-2</v>
      </c>
      <c r="C49" s="4">
        <v>3.286E-2</v>
      </c>
      <c r="D49" s="4">
        <v>3.2899999999999999E-2</v>
      </c>
      <c r="E49" s="4">
        <v>3.295E-2</v>
      </c>
      <c r="F49" s="4">
        <v>3.3599999999999998E-2</v>
      </c>
      <c r="G49" s="4">
        <v>2.502055555555556E-2</v>
      </c>
      <c r="H49" s="4">
        <v>3.5825999999999997E-2</v>
      </c>
      <c r="I49" s="4">
        <v>3.6937000000000005E-2</v>
      </c>
      <c r="J49" s="4">
        <v>2.8877E-2</v>
      </c>
      <c r="K49" s="4">
        <v>3.6429999999999997E-2</v>
      </c>
      <c r="L49" s="4">
        <v>-4.9140294979347687E-2</v>
      </c>
      <c r="M49" s="4">
        <v>2.6528793750129509E-2</v>
      </c>
      <c r="N49" s="4">
        <v>11.34</v>
      </c>
      <c r="O49" s="4">
        <v>2.1223821444086077E-2</v>
      </c>
      <c r="P49" s="4">
        <v>2.8200876597517022E-2</v>
      </c>
      <c r="Q49" s="4">
        <v>16.09</v>
      </c>
      <c r="R49" s="4">
        <v>4.1658809999999998E-2</v>
      </c>
      <c r="S49" s="4">
        <v>7.7848020000000004E-2</v>
      </c>
      <c r="T49" s="4">
        <v>4.2125868747816098E-2</v>
      </c>
      <c r="U49" s="4">
        <v>92</v>
      </c>
      <c r="V49" s="5">
        <v>4.9000000000000002E-2</v>
      </c>
      <c r="W49" s="4">
        <v>252.78292999999999</v>
      </c>
      <c r="X49" s="4">
        <v>2476.86</v>
      </c>
      <c r="Y49" s="4">
        <v>646.76199999999994</v>
      </c>
      <c r="Z49" s="4">
        <v>304.10300000000001</v>
      </c>
      <c r="AA49" s="5">
        <v>3.61E-2</v>
      </c>
      <c r="AB49" s="5">
        <v>4.9699999999999994E-2</v>
      </c>
      <c r="AC49" s="5">
        <v>2.8300000000000002E-2</v>
      </c>
      <c r="AD49" s="5">
        <v>5.2699999999999997E-2</v>
      </c>
      <c r="AE49" s="5">
        <v>5.1100000000000007E-2</v>
      </c>
    </row>
    <row r="50" spans="1:31" s="2" customFormat="1" x14ac:dyDescent="0.3">
      <c r="A50" s="3">
        <v>45046</v>
      </c>
      <c r="B50" s="4">
        <v>3.5099999999999999E-2</v>
      </c>
      <c r="C50" s="4">
        <v>3.322E-2</v>
      </c>
      <c r="D50" s="4">
        <v>3.3000000000000002E-2</v>
      </c>
      <c r="E50" s="4">
        <v>3.3000000000000002E-2</v>
      </c>
      <c r="F50" s="4">
        <v>3.3669999999999999E-2</v>
      </c>
      <c r="G50" s="4">
        <v>2.5534444444444443E-2</v>
      </c>
      <c r="H50" s="4">
        <v>3.5831000000000002E-2</v>
      </c>
      <c r="I50" s="4">
        <v>3.7092E-2</v>
      </c>
      <c r="J50" s="4">
        <v>2.9094000000000002E-2</v>
      </c>
      <c r="K50" s="4">
        <v>3.6583999999999998E-2</v>
      </c>
      <c r="L50" s="4">
        <v>-1.5104893302358757E-2</v>
      </c>
      <c r="M50" s="4">
        <v>9.960191532827789E-3</v>
      </c>
      <c r="N50" s="4">
        <v>11.64</v>
      </c>
      <c r="O50" s="4">
        <v>3.4144710641657028E-3</v>
      </c>
      <c r="P50" s="4">
        <v>1.2732658999755619E-2</v>
      </c>
      <c r="Q50" s="4">
        <v>16.310400000000001</v>
      </c>
      <c r="R50" s="4">
        <v>3.688102E-2</v>
      </c>
      <c r="S50" s="4">
        <v>7.4159589999999997E-2</v>
      </c>
      <c r="T50" s="4">
        <v>4.0491848935440888E-2</v>
      </c>
      <c r="U50" s="4">
        <v>95.2</v>
      </c>
      <c r="V50" s="5">
        <v>0.05</v>
      </c>
      <c r="W50" s="4">
        <v>253.64605</v>
      </c>
      <c r="X50" s="4">
        <v>2501.5300000000002</v>
      </c>
      <c r="Y50" s="4">
        <v>654.99699999999996</v>
      </c>
      <c r="Z50" s="4">
        <v>305.67500000000001</v>
      </c>
      <c r="AA50" s="5">
        <v>3.6000000000000004E-2</v>
      </c>
      <c r="AB50" s="5">
        <v>4.8799999999999996E-2</v>
      </c>
      <c r="AC50" s="5">
        <v>2.8500000000000001E-2</v>
      </c>
      <c r="AD50" s="5">
        <v>5.1699999999999996E-2</v>
      </c>
      <c r="AE50" s="5">
        <v>4.9699999999999994E-2</v>
      </c>
    </row>
    <row r="51" spans="1:31" s="2" customFormat="1" x14ac:dyDescent="0.3">
      <c r="A51" s="3">
        <v>45077</v>
      </c>
      <c r="B51" s="4">
        <v>3.5900000000000001E-2</v>
      </c>
      <c r="C51" s="4">
        <v>3.5310000000000001E-2</v>
      </c>
      <c r="D51" s="4">
        <v>3.44E-2</v>
      </c>
      <c r="E51" s="4">
        <v>3.4249999999999996E-2</v>
      </c>
      <c r="F51" s="4">
        <v>3.5200000000000002E-2</v>
      </c>
      <c r="G51" s="4">
        <v>2.6133055555555548E-2</v>
      </c>
      <c r="H51" s="4">
        <v>3.7592E-2</v>
      </c>
      <c r="I51" s="4">
        <v>3.8767999999999997E-2</v>
      </c>
      <c r="J51" s="4">
        <v>2.9411E-2</v>
      </c>
      <c r="K51" s="4">
        <v>3.8082999999999999E-2</v>
      </c>
      <c r="L51" s="4">
        <v>-1.8580371736644619E-2</v>
      </c>
      <c r="M51" s="4">
        <v>3.0217506885785728E-2</v>
      </c>
      <c r="N51" s="4">
        <v>12</v>
      </c>
      <c r="O51" s="4">
        <v>-6.5715196432193368E-3</v>
      </c>
      <c r="P51" s="4">
        <v>-1.3163419069094906E-2</v>
      </c>
      <c r="Q51" s="4">
        <v>16.267600000000002</v>
      </c>
      <c r="R51" s="4">
        <v>3.3767440000000003E-2</v>
      </c>
      <c r="S51" s="4">
        <v>6.5627640000000001E-2</v>
      </c>
      <c r="T51" s="4">
        <v>4.0491848935440888E-2</v>
      </c>
      <c r="U51" s="4">
        <v>98.1</v>
      </c>
      <c r="V51" s="5">
        <v>0.05</v>
      </c>
      <c r="W51" s="4">
        <v>251.97920999999999</v>
      </c>
      <c r="X51" s="4">
        <v>2577.12</v>
      </c>
      <c r="Y51" s="4">
        <v>646.375</v>
      </c>
      <c r="Z51" s="4">
        <v>303.822</v>
      </c>
      <c r="AA51" s="5">
        <v>3.78E-2</v>
      </c>
      <c r="AB51" s="5">
        <v>5.1200000000000002E-2</v>
      </c>
      <c r="AC51" s="5">
        <v>2.9900000000000003E-2</v>
      </c>
      <c r="AD51" s="5">
        <v>5.4800000000000001E-2</v>
      </c>
      <c r="AE51" s="5">
        <v>5.2600000000000001E-2</v>
      </c>
    </row>
    <row r="52" spans="1:31" s="2" customFormat="1" x14ac:dyDescent="0.3">
      <c r="A52" s="3">
        <v>45107</v>
      </c>
      <c r="B52" s="4">
        <v>3.7599999999999995E-2</v>
      </c>
      <c r="C52" s="4">
        <v>3.5769999999999996E-2</v>
      </c>
      <c r="D52" s="4">
        <v>3.6560000000000002E-2</v>
      </c>
      <c r="E52" s="4">
        <v>3.6499999999999998E-2</v>
      </c>
      <c r="F52" s="4">
        <v>3.6610000000000004E-2</v>
      </c>
      <c r="G52" s="4">
        <v>2.6765277777777777E-2</v>
      </c>
      <c r="H52" s="4">
        <v>3.8870000000000002E-2</v>
      </c>
      <c r="I52" s="4">
        <v>3.9807000000000002E-2</v>
      </c>
      <c r="J52" s="4">
        <v>2.9331999999999997E-2</v>
      </c>
      <c r="K52" s="4">
        <v>4.0190999999999998E-2</v>
      </c>
      <c r="L52" s="4">
        <v>-5.7940315245156304E-3</v>
      </c>
      <c r="M52" s="4">
        <v>-4.9823058297633338E-3</v>
      </c>
      <c r="N52" s="4">
        <v>12.21</v>
      </c>
      <c r="O52" s="4">
        <v>-2.582157472435842E-3</v>
      </c>
      <c r="P52" s="4">
        <v>5.6416167085669988E-2</v>
      </c>
      <c r="Q52" s="4">
        <v>17.2684</v>
      </c>
      <c r="R52" s="4">
        <v>2.7261810000000001E-2</v>
      </c>
      <c r="S52" s="4">
        <v>5.7694799999999997E-2</v>
      </c>
      <c r="T52" s="4">
        <v>4.0491848935440888E-2</v>
      </c>
      <c r="U52" s="4">
        <v>100.8</v>
      </c>
      <c r="V52" s="5">
        <v>0.05</v>
      </c>
      <c r="W52" s="4">
        <v>251.32856000000001</v>
      </c>
      <c r="X52" s="4">
        <v>2564.2800000000002</v>
      </c>
      <c r="Y52" s="4">
        <v>682.84100000000001</v>
      </c>
      <c r="Z52" s="4">
        <v>303.202</v>
      </c>
      <c r="AA52" s="5">
        <v>3.9800000000000002E-2</v>
      </c>
      <c r="AB52" s="5">
        <v>5.28E-2</v>
      </c>
      <c r="AC52" s="5">
        <v>3.2199999999999999E-2</v>
      </c>
      <c r="AD52" s="5">
        <v>5.7800000000000004E-2</v>
      </c>
      <c r="AE52" s="5">
        <v>5.5099999999999996E-2</v>
      </c>
    </row>
    <row r="53" spans="1:31" s="2" customFormat="1" x14ac:dyDescent="0.3">
      <c r="A53" s="3">
        <v>45138</v>
      </c>
      <c r="B53" s="4">
        <v>3.8100000000000002E-2</v>
      </c>
      <c r="C53" s="4">
        <v>3.5060000000000001E-2</v>
      </c>
      <c r="D53" s="4">
        <v>3.6819999999999999E-2</v>
      </c>
      <c r="E53" s="4">
        <v>3.7010000000000001E-2</v>
      </c>
      <c r="F53" s="4">
        <v>3.7650000000000003E-2</v>
      </c>
      <c r="G53" s="4">
        <v>2.7451388888888886E-2</v>
      </c>
      <c r="H53" s="4">
        <v>3.9031999999999997E-2</v>
      </c>
      <c r="I53" s="4">
        <v>3.9870000000000003E-2</v>
      </c>
      <c r="J53" s="4">
        <v>2.9333999999999999E-2</v>
      </c>
      <c r="K53" s="4">
        <v>4.0281000000000004E-2</v>
      </c>
      <c r="L53" s="4">
        <v>-3.1787114523720406E-2</v>
      </c>
      <c r="M53" s="4">
        <v>2.6635156847146124E-2</v>
      </c>
      <c r="N53" s="4">
        <v>12.26</v>
      </c>
      <c r="O53" s="4">
        <v>2.0957825087606352E-3</v>
      </c>
      <c r="P53" s="4">
        <v>3.5539752299583727E-2</v>
      </c>
      <c r="Q53" s="4">
        <v>17.9313</v>
      </c>
      <c r="R53" s="4">
        <v>2.3544559999999999E-2</v>
      </c>
      <c r="S53" s="4">
        <v>6.0338820000000001E-2</v>
      </c>
      <c r="T53" s="4">
        <v>4.0472623596329971E-2</v>
      </c>
      <c r="U53" s="4">
        <v>103.4</v>
      </c>
      <c r="V53" s="5">
        <v>4.9000000000000002E-2</v>
      </c>
      <c r="W53" s="4">
        <v>251.85529</v>
      </c>
      <c r="X53" s="4">
        <v>2632.58</v>
      </c>
      <c r="Y53" s="4">
        <v>707.10900000000004</v>
      </c>
      <c r="Z53" s="4">
        <v>303.00900000000001</v>
      </c>
      <c r="AA53" s="5">
        <v>0.04</v>
      </c>
      <c r="AB53" s="5">
        <v>5.21E-2</v>
      </c>
      <c r="AC53" s="5">
        <v>3.27E-2</v>
      </c>
      <c r="AD53" s="5">
        <v>5.67E-2</v>
      </c>
      <c r="AE53" s="5">
        <v>5.4199999999999998E-2</v>
      </c>
    </row>
    <row r="54" spans="1:31" s="2" customFormat="1" x14ac:dyDescent="0.3">
      <c r="A54" s="3">
        <v>45169</v>
      </c>
      <c r="B54" s="4">
        <v>3.7400000000000003E-2</v>
      </c>
      <c r="C54" s="4">
        <v>3.5070000000000004E-2</v>
      </c>
      <c r="D54" s="4">
        <v>3.7170000000000002E-2</v>
      </c>
      <c r="E54" s="4">
        <v>3.755E-2</v>
      </c>
      <c r="F54" s="4">
        <v>3.8249999999999999E-2</v>
      </c>
      <c r="G54" s="4">
        <v>2.808972222222221E-2</v>
      </c>
      <c r="H54" s="4">
        <v>3.9216000000000001E-2</v>
      </c>
      <c r="I54" s="4">
        <v>3.9895E-2</v>
      </c>
      <c r="J54" s="4">
        <v>2.9525000000000003E-2</v>
      </c>
      <c r="K54" s="4">
        <v>4.0244000000000002E-2</v>
      </c>
      <c r="L54" s="4">
        <v>-4.9548140710135025E-3</v>
      </c>
      <c r="M54" s="4">
        <v>-2.898677343138667E-2</v>
      </c>
      <c r="N54" s="4">
        <v>11.89</v>
      </c>
      <c r="O54" s="4">
        <v>1.2048585519088828E-3</v>
      </c>
      <c r="P54" s="4">
        <v>-2.9640409045847305E-2</v>
      </c>
      <c r="Q54" s="4">
        <v>17.474900000000002</v>
      </c>
      <c r="R54" s="4">
        <v>3.3600289999999998E-2</v>
      </c>
      <c r="S54" s="4">
        <v>6.613825000000001E-2</v>
      </c>
      <c r="T54" s="4">
        <v>4.0472623596329971E-2</v>
      </c>
      <c r="U54" s="4">
        <v>103.3</v>
      </c>
      <c r="V54" s="5">
        <v>4.9000000000000002E-2</v>
      </c>
      <c r="W54" s="4">
        <v>252.15873999999999</v>
      </c>
      <c r="X54" s="4">
        <v>2556.27</v>
      </c>
      <c r="Y54" s="4">
        <v>686.15</v>
      </c>
      <c r="Z54" s="4">
        <v>302.24</v>
      </c>
      <c r="AA54" s="5">
        <v>4.0800000000000003E-2</v>
      </c>
      <c r="AB54" s="5">
        <v>5.3200000000000004E-2</v>
      </c>
      <c r="AC54" s="5">
        <v>3.32E-2</v>
      </c>
      <c r="AD54" s="5">
        <v>5.74E-2</v>
      </c>
      <c r="AE54" s="5">
        <v>5.5500000000000001E-2</v>
      </c>
    </row>
    <row r="55" spans="1:31" x14ac:dyDescent="0.3">
      <c r="A55" s="3">
        <v>45199</v>
      </c>
      <c r="B55" s="4">
        <v>3.8900000000000004E-2</v>
      </c>
      <c r="C55" s="4">
        <v>3.6769999999999997E-2</v>
      </c>
      <c r="D55" s="4">
        <v>3.875E-2</v>
      </c>
      <c r="E55" s="4">
        <v>3.925E-2</v>
      </c>
      <c r="F55" s="4">
        <v>4.0119999999999996E-2</v>
      </c>
      <c r="G55" s="4">
        <v>2.8807777777777772E-2</v>
      </c>
      <c r="H55" s="4">
        <v>4.0815000000000004E-2</v>
      </c>
      <c r="I55" s="4">
        <v>4.1267999999999999E-2</v>
      </c>
      <c r="J55" s="4">
        <v>3.0085000000000001E-2</v>
      </c>
      <c r="K55" s="4">
        <v>4.2186000000000001E-2</v>
      </c>
      <c r="L55" s="4">
        <v>1.3147729059694635E-2</v>
      </c>
      <c r="M55" s="4">
        <v>-3.5676982478376584E-2</v>
      </c>
      <c r="N55" s="4">
        <v>11.49</v>
      </c>
      <c r="O55" s="4">
        <v>-5.3857740564534629E-3</v>
      </c>
      <c r="P55" s="4">
        <v>-4.2745755301318855E-2</v>
      </c>
      <c r="Q55" s="4">
        <v>16.863299999999999</v>
      </c>
      <c r="R55" s="4">
        <v>3.7033629999999998E-2</v>
      </c>
      <c r="S55" s="4">
        <v>6.495041E-2</v>
      </c>
      <c r="T55" s="4">
        <v>4.0472623596329971E-2</v>
      </c>
      <c r="U55" s="4">
        <v>99.8</v>
      </c>
      <c r="V55" s="5">
        <v>4.8000000000000001E-2</v>
      </c>
      <c r="W55" s="4">
        <v>250.80067</v>
      </c>
      <c r="X55" s="4">
        <v>2465.0700000000002</v>
      </c>
      <c r="Y55" s="4">
        <v>656.82</v>
      </c>
      <c r="Z55" s="4">
        <v>296.36799999999999</v>
      </c>
      <c r="AA55" s="5">
        <v>4.4400000000000002E-2</v>
      </c>
      <c r="AB55" s="5">
        <v>5.6600000000000004E-2</v>
      </c>
      <c r="AC55" s="5">
        <v>3.6299999999999999E-2</v>
      </c>
      <c r="AD55" s="5">
        <v>6.0100000000000001E-2</v>
      </c>
      <c r="AE55" s="5">
        <v>5.9400000000000001E-2</v>
      </c>
    </row>
    <row r="56" spans="1:31" x14ac:dyDescent="0.3">
      <c r="A56" s="3">
        <v>45230</v>
      </c>
      <c r="B56" s="4">
        <v>4.1100000000000005E-2</v>
      </c>
      <c r="C56" s="4">
        <v>3.7280000000000001E-2</v>
      </c>
      <c r="D56" s="4">
        <v>4.0830000000000005E-2</v>
      </c>
      <c r="E56" s="4">
        <v>4.2020000000000002E-2</v>
      </c>
      <c r="F56" s="4">
        <v>4.335E-2</v>
      </c>
      <c r="G56" s="4">
        <v>2.9580833333333327E-2</v>
      </c>
      <c r="H56" s="4">
        <v>4.2698E-2</v>
      </c>
      <c r="I56" s="4">
        <v>4.2712E-2</v>
      </c>
      <c r="J56" s="4">
        <v>3.0062999999999999E-2</v>
      </c>
      <c r="K56" s="4">
        <v>4.4263999999999998E-2</v>
      </c>
      <c r="L56" s="4">
        <v>9.8029106257775389E-3</v>
      </c>
      <c r="M56" s="4">
        <v>-7.5892368168044011E-2</v>
      </c>
      <c r="N56" s="4">
        <v>10.67</v>
      </c>
      <c r="O56" s="4">
        <v>-7.5888154525264317E-3</v>
      </c>
      <c r="P56" s="4">
        <v>-3.0700953076946647E-2</v>
      </c>
      <c r="Q56" s="4">
        <v>16.421399999999998</v>
      </c>
      <c r="R56" s="4">
        <v>3.7651150000000001E-2</v>
      </c>
      <c r="S56" s="4">
        <v>5.9016970000000002E-2</v>
      </c>
      <c r="T56" s="4">
        <v>4.0472623596329971E-2</v>
      </c>
      <c r="U56" s="4">
        <v>98.2</v>
      </c>
      <c r="V56" s="5">
        <v>4.7E-2</v>
      </c>
      <c r="W56" s="4">
        <v>248.89739</v>
      </c>
      <c r="X56" s="4">
        <v>2277.9899999999998</v>
      </c>
      <c r="Y56" s="4">
        <v>636.65499999999997</v>
      </c>
      <c r="Z56" s="4">
        <v>293.786</v>
      </c>
      <c r="AA56" s="5">
        <v>4.58E-2</v>
      </c>
      <c r="AB56" s="5">
        <v>5.8299999999999998E-2</v>
      </c>
      <c r="AC56" s="5">
        <v>3.73E-2</v>
      </c>
      <c r="AD56" s="5">
        <v>6.1399999999999996E-2</v>
      </c>
      <c r="AE56" s="5">
        <v>6.2199999999999998E-2</v>
      </c>
    </row>
    <row r="57" spans="1:31" x14ac:dyDescent="0.3">
      <c r="A57" s="3">
        <v>45260</v>
      </c>
      <c r="B57" s="4">
        <v>4.1799999999999997E-2</v>
      </c>
      <c r="C57" s="4">
        <v>3.637E-2</v>
      </c>
      <c r="D57" s="4">
        <v>3.5819999999999998E-2</v>
      </c>
      <c r="E57" s="4">
        <v>3.6200000000000003E-2</v>
      </c>
      <c r="F57" s="4">
        <v>3.6970000000000003E-2</v>
      </c>
      <c r="G57" s="4">
        <v>3.014611111111111E-2</v>
      </c>
      <c r="H57" s="4">
        <v>3.8393000000000004E-2</v>
      </c>
      <c r="I57" s="4">
        <v>3.9386999999999998E-2</v>
      </c>
      <c r="J57" s="4">
        <v>3.0461000000000002E-2</v>
      </c>
      <c r="K57" s="4">
        <v>3.9049E-2</v>
      </c>
      <c r="L57" s="4">
        <v>1.8568401633591414E-2</v>
      </c>
      <c r="M57" s="4">
        <v>0.11295045193350293</v>
      </c>
      <c r="N57" s="4">
        <v>11.91</v>
      </c>
      <c r="O57" s="4">
        <v>3.1300609459986806E-2</v>
      </c>
      <c r="P57" s="4">
        <v>9.0669200744516232E-2</v>
      </c>
      <c r="Q57" s="4">
        <v>17.7545</v>
      </c>
      <c r="R57" s="4">
        <v>3.3098010000000004E-2</v>
      </c>
      <c r="S57" s="4">
        <v>5.7250599999999999E-2</v>
      </c>
      <c r="T57" s="4">
        <v>4.0472623596329971E-2</v>
      </c>
      <c r="U57" s="4">
        <v>97.3</v>
      </c>
      <c r="V57" s="5">
        <v>4.5999999999999999E-2</v>
      </c>
      <c r="W57" s="4">
        <v>256.68803000000003</v>
      </c>
      <c r="X57" s="4">
        <v>2535.29</v>
      </c>
      <c r="Y57" s="4">
        <v>694.38</v>
      </c>
      <c r="Z57" s="4">
        <v>304.774</v>
      </c>
      <c r="AA57" s="5">
        <v>4.1100000000000005E-2</v>
      </c>
      <c r="AB57" s="5">
        <v>5.2400000000000002E-2</v>
      </c>
      <c r="AC57" s="5">
        <v>3.3399999999999999E-2</v>
      </c>
      <c r="AD57" s="5">
        <v>5.6399999999999999E-2</v>
      </c>
      <c r="AE57" s="5">
        <v>5.5099999999999996E-2</v>
      </c>
    </row>
    <row r="58" spans="1:31" x14ac:dyDescent="0.3">
      <c r="A58" s="3">
        <v>45291</v>
      </c>
      <c r="B58" s="4">
        <v>3.8800000000000001E-2</v>
      </c>
      <c r="C58" s="4">
        <v>3.4249999999999996E-2</v>
      </c>
      <c r="D58" s="4">
        <v>3.1449999999999999E-2</v>
      </c>
      <c r="E58" s="4">
        <v>3.1549999999999995E-2</v>
      </c>
      <c r="F58" s="4">
        <v>3.175E-2</v>
      </c>
      <c r="G58" s="4">
        <v>3.0549722222222218E-2</v>
      </c>
      <c r="H58" s="4">
        <v>3.4692000000000001E-2</v>
      </c>
      <c r="I58" s="4">
        <v>3.6387000000000003E-2</v>
      </c>
      <c r="J58" s="4">
        <v>2.9363999999999998E-2</v>
      </c>
      <c r="K58" s="4">
        <v>3.5226E-2</v>
      </c>
      <c r="L58" s="4">
        <v>6.6480034663453091E-2</v>
      </c>
      <c r="M58" s="4">
        <v>4.7327919094068305E-2</v>
      </c>
      <c r="N58" s="4">
        <v>12.49</v>
      </c>
      <c r="O58" s="4">
        <v>2.7759377794126072E-2</v>
      </c>
      <c r="P58" s="4">
        <v>4.6971398945822251E-2</v>
      </c>
      <c r="Q58" s="4">
        <v>18.499400000000001</v>
      </c>
      <c r="R58" s="4">
        <v>3.175911E-2</v>
      </c>
      <c r="S58" s="4">
        <v>5.9419670000000001E-2</v>
      </c>
      <c r="T58" s="4">
        <v>4.0472623596329971E-2</v>
      </c>
      <c r="U58" s="4">
        <v>99.7</v>
      </c>
      <c r="V58" s="5">
        <v>4.4999999999999998E-2</v>
      </c>
      <c r="W58" s="4">
        <v>263.81353000000001</v>
      </c>
      <c r="X58" s="4">
        <v>2655.28</v>
      </c>
      <c r="Y58" s="4">
        <v>726.99599999999998</v>
      </c>
      <c r="Z58" s="4">
        <v>315.05099999999999</v>
      </c>
      <c r="AA58" s="5">
        <v>3.6299999999999999E-2</v>
      </c>
      <c r="AB58" s="5">
        <v>4.7E-2</v>
      </c>
      <c r="AC58" s="5">
        <v>2.9300000000000003E-2</v>
      </c>
      <c r="AD58" s="5">
        <v>5.1500000000000004E-2</v>
      </c>
      <c r="AE58" s="5">
        <v>4.9400000000000006E-2</v>
      </c>
    </row>
    <row r="59" spans="1:31" x14ac:dyDescent="0.3">
      <c r="A59" s="3">
        <v>45322</v>
      </c>
      <c r="B59" s="4">
        <v>3.6499999999999998E-2</v>
      </c>
      <c r="C59" s="4">
        <v>3.338E-2</v>
      </c>
      <c r="D59" s="4">
        <v>3.2590000000000001E-2</v>
      </c>
      <c r="E59" s="4">
        <v>3.295E-2</v>
      </c>
      <c r="F59" s="4">
        <v>3.3450000000000001E-2</v>
      </c>
      <c r="G59" s="4">
        <v>3.0988611111111106E-2</v>
      </c>
      <c r="H59" s="4">
        <v>3.5257000000000004E-2</v>
      </c>
      <c r="I59" s="4">
        <v>3.6065E-2</v>
      </c>
      <c r="J59" s="4">
        <v>2.9664000000000003E-2</v>
      </c>
      <c r="K59" s="4">
        <v>3.6007999999999998E-2</v>
      </c>
      <c r="L59" s="4">
        <v>3.3684099201522821E-2</v>
      </c>
      <c r="M59" s="4">
        <v>-5.9575637974149664E-2</v>
      </c>
      <c r="N59" s="4">
        <v>11.9</v>
      </c>
      <c r="O59" s="4">
        <v>-5.9876383140774481E-3</v>
      </c>
      <c r="P59" s="4">
        <v>5.2847608515038669E-3</v>
      </c>
      <c r="Q59" s="4">
        <v>18.659400000000002</v>
      </c>
      <c r="R59" s="4">
        <v>2.8163900000000002E-2</v>
      </c>
      <c r="S59" s="4">
        <v>5.6656740000000004E-2</v>
      </c>
      <c r="T59" s="4">
        <v>6.7231476115481748E-2</v>
      </c>
      <c r="U59" s="4">
        <v>101.6</v>
      </c>
      <c r="V59" s="5">
        <v>3.6000000000000004E-2</v>
      </c>
      <c r="W59" s="4">
        <v>262.23390999999998</v>
      </c>
      <c r="X59" s="4">
        <v>2497.09</v>
      </c>
      <c r="Y59" s="4">
        <v>730.83799999999997</v>
      </c>
      <c r="Z59" s="4">
        <v>312.76799999999997</v>
      </c>
      <c r="AA59" s="5">
        <v>3.8300000000000001E-2</v>
      </c>
      <c r="AB59" s="5">
        <v>4.8399999999999999E-2</v>
      </c>
      <c r="AC59" s="5">
        <v>3.1400000000000004E-2</v>
      </c>
      <c r="AD59" s="5">
        <v>5.0799999999999998E-2</v>
      </c>
      <c r="AE59" s="5">
        <v>4.9500000000000002E-2</v>
      </c>
    </row>
    <row r="60" spans="1:31" x14ac:dyDescent="0.3">
      <c r="A60" s="3">
        <v>45351</v>
      </c>
      <c r="B60" s="4">
        <v>3.6299999999999999E-2</v>
      </c>
      <c r="C60" s="4">
        <v>3.4769999999999995E-2</v>
      </c>
      <c r="D60" s="4">
        <v>3.3820000000000003E-2</v>
      </c>
      <c r="E60" s="4">
        <v>3.4300000000000004E-2</v>
      </c>
      <c r="F60" s="4">
        <v>3.4799999999999998E-2</v>
      </c>
      <c r="G60" s="4">
        <v>3.140805555555555E-2</v>
      </c>
      <c r="H60" s="4">
        <v>3.6119999999999999E-2</v>
      </c>
      <c r="I60" s="4">
        <v>3.6840000000000005E-2</v>
      </c>
      <c r="J60" s="4">
        <v>3.0045000000000002E-2</v>
      </c>
      <c r="K60" s="4">
        <v>3.6657999999999996E-2</v>
      </c>
      <c r="L60" s="4">
        <v>4.596749494317165E-2</v>
      </c>
      <c r="M60" s="4">
        <v>5.8175716534045518E-2</v>
      </c>
      <c r="N60" s="4">
        <v>16.59</v>
      </c>
      <c r="O60" s="4">
        <v>-2.303172766634165E-3</v>
      </c>
      <c r="P60" s="4">
        <v>4.1656290450140965E-2</v>
      </c>
      <c r="Q60" s="4">
        <v>17.869399999999999</v>
      </c>
      <c r="R60" s="4">
        <v>3.1269829999999998E-2</v>
      </c>
      <c r="S60" s="4">
        <v>5.6915509999999996E-2</v>
      </c>
      <c r="T60" s="4">
        <v>6.7231476115481748E-2</v>
      </c>
      <c r="U60" s="4">
        <v>101.9</v>
      </c>
      <c r="V60" s="5">
        <v>3.6000000000000004E-2</v>
      </c>
      <c r="W60" s="4">
        <v>261.62993999999998</v>
      </c>
      <c r="X60" s="4">
        <v>2642.36</v>
      </c>
      <c r="Y60" s="4">
        <v>761.28200000000004</v>
      </c>
      <c r="Z60" s="4">
        <v>310.78100000000001</v>
      </c>
      <c r="AA60" s="5">
        <v>4.0199999999999993E-2</v>
      </c>
      <c r="AB60" s="5">
        <v>5.0499999999999996E-2</v>
      </c>
      <c r="AC60" s="5">
        <v>3.3300000000000003E-2</v>
      </c>
      <c r="AD60" s="5">
        <v>5.4100000000000002E-2</v>
      </c>
      <c r="AE60" s="5">
        <v>5.2999999999999999E-2</v>
      </c>
    </row>
    <row r="61" spans="1:31" x14ac:dyDescent="0.3">
      <c r="A61" s="3">
        <v>45382</v>
      </c>
      <c r="B61" s="4">
        <v>3.61E-2</v>
      </c>
      <c r="C61" s="4">
        <v>3.3950000000000001E-2</v>
      </c>
      <c r="D61" s="4">
        <v>3.3189999999999997E-2</v>
      </c>
      <c r="E61" s="4">
        <v>3.3450000000000001E-2</v>
      </c>
      <c r="F61" s="4">
        <v>3.4020000000000002E-2</v>
      </c>
      <c r="G61" s="4">
        <v>3.1781666666666659E-2</v>
      </c>
      <c r="H61" s="4">
        <v>3.5200999999999996E-2</v>
      </c>
      <c r="I61" s="4">
        <v>3.5789000000000001E-2</v>
      </c>
      <c r="J61" s="4">
        <v>3.0434000000000003E-2</v>
      </c>
      <c r="K61" s="4">
        <v>3.5695999999999999E-2</v>
      </c>
      <c r="L61" s="4">
        <v>3.2978957787328733E-2</v>
      </c>
      <c r="M61" s="4">
        <v>3.9460936435610661E-2</v>
      </c>
      <c r="N61" s="4">
        <v>19.329999999999998</v>
      </c>
      <c r="O61" s="4">
        <v>7.8345773423333931E-3</v>
      </c>
      <c r="P61" s="4">
        <v>2.9295320262399338E-2</v>
      </c>
      <c r="Q61" s="4">
        <v>18.370100000000001</v>
      </c>
      <c r="R61" s="4">
        <v>3.1035110000000001E-2</v>
      </c>
      <c r="S61" s="4">
        <v>5.8099140000000001E-2</v>
      </c>
      <c r="T61" s="4">
        <v>6.7231476115481748E-2</v>
      </c>
      <c r="U61" s="4">
        <v>100.7</v>
      </c>
      <c r="V61" s="5">
        <v>3.9E-2</v>
      </c>
      <c r="W61" s="4">
        <v>263.67970000000003</v>
      </c>
      <c r="X61" s="4">
        <v>2746.63</v>
      </c>
      <c r="Y61" s="4">
        <v>783.58399999999995</v>
      </c>
      <c r="Z61" s="4">
        <v>314.13200000000001</v>
      </c>
      <c r="AA61" s="5">
        <v>3.9199999999999999E-2</v>
      </c>
      <c r="AB61" s="5">
        <v>4.9100000000000005E-2</v>
      </c>
      <c r="AC61" s="5">
        <v>3.2599999999999997E-2</v>
      </c>
      <c r="AD61" s="5">
        <v>5.3600000000000002E-2</v>
      </c>
      <c r="AE61" s="5">
        <v>5.1799999999999999E-2</v>
      </c>
    </row>
    <row r="62" spans="1:31" x14ac:dyDescent="0.3">
      <c r="A62" s="3">
        <v>45412</v>
      </c>
      <c r="B62" s="4">
        <v>3.56E-2</v>
      </c>
      <c r="C62" s="4">
        <v>3.4689999999999999E-2</v>
      </c>
      <c r="D62" s="4">
        <v>3.5249999999999997E-2</v>
      </c>
      <c r="E62" s="4">
        <v>3.585E-2</v>
      </c>
      <c r="F62" s="4">
        <v>3.6499999999999998E-2</v>
      </c>
      <c r="G62" s="4">
        <v>3.2203888888888879E-2</v>
      </c>
      <c r="H62" s="4">
        <v>3.6518999999999996E-2</v>
      </c>
      <c r="I62" s="4">
        <v>3.6922000000000003E-2</v>
      </c>
      <c r="J62" s="4">
        <v>3.0858E-2</v>
      </c>
      <c r="K62" s="4">
        <v>3.7073000000000002E-2</v>
      </c>
      <c r="L62" s="4">
        <v>1.1472969657315701E-2</v>
      </c>
      <c r="M62" s="4">
        <v>-1.9867983674539458E-2</v>
      </c>
      <c r="N62" s="4">
        <v>18.739999999999998</v>
      </c>
      <c r="O62" s="4">
        <v>-6.3181200524728975E-3</v>
      </c>
      <c r="P62" s="4">
        <v>-3.4425154163433502E-2</v>
      </c>
      <c r="Q62" s="4">
        <v>17.827300000000001</v>
      </c>
      <c r="R62" s="4">
        <v>2.9249800000000003E-2</v>
      </c>
      <c r="S62" s="4">
        <v>5.7463010000000002E-2</v>
      </c>
      <c r="T62" s="4">
        <v>6.933304880907154E-2</v>
      </c>
      <c r="U62" s="4">
        <v>100.7</v>
      </c>
      <c r="V62" s="5">
        <v>4.0999999999999995E-2</v>
      </c>
      <c r="W62" s="4">
        <v>262.01373999999998</v>
      </c>
      <c r="X62" s="4">
        <v>2692.06</v>
      </c>
      <c r="Y62" s="4">
        <v>756.60900000000004</v>
      </c>
      <c r="Z62" s="4">
        <v>309.18200000000002</v>
      </c>
      <c r="AA62" s="5">
        <v>4.24E-2</v>
      </c>
      <c r="AB62" s="5">
        <v>5.2000000000000005E-2</v>
      </c>
      <c r="AC62" s="5">
        <v>3.56E-2</v>
      </c>
      <c r="AD62" s="5">
        <v>5.6799999999999996E-2</v>
      </c>
      <c r="AE62" s="5">
        <v>5.6299999999999996E-2</v>
      </c>
    </row>
    <row r="63" spans="1:31" x14ac:dyDescent="0.3">
      <c r="A63" s="3">
        <v>45443</v>
      </c>
      <c r="B63" s="4">
        <v>3.61E-2</v>
      </c>
      <c r="C63" s="4">
        <v>3.3849999999999998E-2</v>
      </c>
      <c r="D63" s="4">
        <v>3.4520000000000002E-2</v>
      </c>
      <c r="E63" s="4">
        <v>3.5019999999999996E-2</v>
      </c>
      <c r="F63" s="4">
        <v>3.5799999999999998E-2</v>
      </c>
      <c r="G63" s="4">
        <v>3.2592777777777776E-2</v>
      </c>
      <c r="H63" s="4">
        <v>3.5848999999999999E-2</v>
      </c>
      <c r="I63" s="4">
        <v>3.6169E-2</v>
      </c>
      <c r="J63" s="4">
        <v>3.1021E-2</v>
      </c>
      <c r="K63" s="4">
        <v>3.6301E-2</v>
      </c>
      <c r="L63" s="4">
        <v>2.1726537248783817E-2</v>
      </c>
      <c r="M63" s="4">
        <v>-2.0631040912906795E-2</v>
      </c>
      <c r="N63" s="4">
        <v>18.34</v>
      </c>
      <c r="O63" s="4">
        <v>6.7259831488228894E-3</v>
      </c>
      <c r="P63" s="4">
        <v>3.8233750854139936E-2</v>
      </c>
      <c r="Q63" s="4">
        <v>18.408899999999999</v>
      </c>
      <c r="R63" s="4">
        <v>2.6725459999999999E-2</v>
      </c>
      <c r="S63" s="4">
        <v>5.9265939999999996E-2</v>
      </c>
      <c r="T63" s="4">
        <v>6.933304880907154E-2</v>
      </c>
      <c r="U63" s="4">
        <v>98.4</v>
      </c>
      <c r="V63" s="5">
        <v>4.0999999999999995E-2</v>
      </c>
      <c r="W63" s="4">
        <v>263.77604000000002</v>
      </c>
      <c r="X63" s="4">
        <v>2636.52</v>
      </c>
      <c r="Y63" s="4">
        <v>785.53700000000003</v>
      </c>
      <c r="Z63" s="4">
        <v>310.423</v>
      </c>
      <c r="AA63" s="5">
        <v>4.24E-2</v>
      </c>
      <c r="AB63" s="5">
        <v>5.16E-2</v>
      </c>
      <c r="AC63" s="5">
        <v>3.5900000000000001E-2</v>
      </c>
      <c r="AD63" s="5">
        <v>5.4800000000000001E-2</v>
      </c>
      <c r="AE63" s="5">
        <v>5.4000000000000006E-2</v>
      </c>
    </row>
    <row r="64" spans="1:31" x14ac:dyDescent="0.3">
      <c r="A64" s="3">
        <v>45473</v>
      </c>
      <c r="B64" s="4">
        <v>3.5400000000000001E-2</v>
      </c>
      <c r="C64" s="4">
        <v>3.2930000000000001E-2</v>
      </c>
      <c r="D64" s="4">
        <v>3.177E-2</v>
      </c>
      <c r="E64" s="4">
        <v>3.1949999999999999E-2</v>
      </c>
      <c r="F64" s="4">
        <v>3.2599999999999997E-2</v>
      </c>
      <c r="G64" s="4">
        <v>3.2916388888888884E-2</v>
      </c>
      <c r="H64" s="4">
        <v>3.3727E-2</v>
      </c>
      <c r="I64" s="4">
        <v>3.4329999999999999E-2</v>
      </c>
      <c r="J64" s="4">
        <v>3.1444E-2</v>
      </c>
      <c r="K64" s="4">
        <v>3.4120999999999999E-2</v>
      </c>
      <c r="L64" s="4">
        <v>3.5082222412780917E-2</v>
      </c>
      <c r="M64" s="4">
        <v>6.117913006538922E-2</v>
      </c>
      <c r="N64" s="4">
        <v>19.46</v>
      </c>
      <c r="O64" s="4">
        <v>1.650904305030898E-2</v>
      </c>
      <c r="P64" s="4">
        <v>2.0970368041225207E-2</v>
      </c>
      <c r="Q64" s="4">
        <v>18.879799999999999</v>
      </c>
      <c r="R64" s="4">
        <v>2.4109389999999998E-2</v>
      </c>
      <c r="S64" s="4">
        <v>5.6781069999999996E-2</v>
      </c>
      <c r="T64" s="4">
        <v>6.933304880907154E-2</v>
      </c>
      <c r="U64" s="4">
        <v>100.9</v>
      </c>
      <c r="V64" s="5">
        <v>4.0999999999999995E-2</v>
      </c>
      <c r="W64" s="4">
        <v>268.13073000000003</v>
      </c>
      <c r="X64" s="4">
        <v>2797.82</v>
      </c>
      <c r="Y64" s="4">
        <v>802.01</v>
      </c>
      <c r="Z64" s="4">
        <v>313.839</v>
      </c>
      <c r="AA64" s="5">
        <v>4.1299999999999996E-2</v>
      </c>
      <c r="AB64" s="5">
        <v>5.0499999999999996E-2</v>
      </c>
      <c r="AC64" s="5">
        <v>3.5000000000000003E-2</v>
      </c>
      <c r="AD64" s="5">
        <v>5.4400000000000004E-2</v>
      </c>
      <c r="AE64" s="5">
        <v>5.3099999999999994E-2</v>
      </c>
    </row>
    <row r="65" spans="1:31" x14ac:dyDescent="0.3">
      <c r="A65" s="3">
        <v>45504</v>
      </c>
      <c r="B65" s="4">
        <v>3.4200000000000001E-2</v>
      </c>
      <c r="C65" s="4">
        <v>3.143E-2</v>
      </c>
      <c r="D65" s="4">
        <v>0.03</v>
      </c>
      <c r="E65" s="4">
        <v>3.0200000000000001E-2</v>
      </c>
      <c r="F65" s="4">
        <v>3.057E-2</v>
      </c>
      <c r="G65" s="4">
        <v>3.324694444444444E-2</v>
      </c>
      <c r="H65" s="4">
        <v>3.1890000000000002E-2</v>
      </c>
      <c r="I65" s="4">
        <v>3.2756E-2</v>
      </c>
      <c r="J65" s="4">
        <v>3.1701E-2</v>
      </c>
      <c r="K65" s="4">
        <v>3.2305E-2</v>
      </c>
      <c r="L65" s="4">
        <v>5.3189839245698867E-2</v>
      </c>
      <c r="M65" s="4">
        <v>-9.6968353932704865E-3</v>
      </c>
      <c r="N65" s="4">
        <v>19.29</v>
      </c>
      <c r="O65" s="4">
        <v>1.501364651489201E-2</v>
      </c>
      <c r="P65" s="4">
        <v>1.5143202703208125E-2</v>
      </c>
      <c r="Q65" s="4">
        <v>19.1386</v>
      </c>
      <c r="R65" s="4">
        <v>2.551892E-2</v>
      </c>
      <c r="S65" s="4">
        <v>5.4159240000000004E-2</v>
      </c>
      <c r="T65" s="4">
        <v>5.760411240941643E-2</v>
      </c>
      <c r="U65" s="4">
        <v>103.6</v>
      </c>
      <c r="V65" s="5">
        <v>4.0999999999999995E-2</v>
      </c>
      <c r="W65" s="4">
        <v>272.15634999999997</v>
      </c>
      <c r="X65" s="4">
        <v>2770.69</v>
      </c>
      <c r="Y65" s="4">
        <v>814.15499999999997</v>
      </c>
      <c r="Z65" s="4">
        <v>319.12599999999998</v>
      </c>
      <c r="AA65" s="5">
        <v>3.8900000000000004E-2</v>
      </c>
      <c r="AB65" s="5">
        <v>4.7899999999999998E-2</v>
      </c>
      <c r="AC65" s="5">
        <v>3.2799999999999996E-2</v>
      </c>
      <c r="AD65" s="5">
        <v>4.99E-2</v>
      </c>
      <c r="AE65" s="5">
        <v>4.9100000000000005E-2</v>
      </c>
    </row>
    <row r="66" spans="1:31" x14ac:dyDescent="0.3">
      <c r="A66" s="3">
        <v>45535</v>
      </c>
      <c r="B66" s="4">
        <v>3.3599999999999998E-2</v>
      </c>
      <c r="C66" s="4">
        <v>3.0520000000000002E-2</v>
      </c>
      <c r="D66" s="4">
        <v>2.955E-2</v>
      </c>
      <c r="E66" s="4">
        <v>3.0120000000000001E-2</v>
      </c>
      <c r="F66" s="4">
        <v>3.0870000000000002E-2</v>
      </c>
      <c r="G66" s="4">
        <v>3.3573333333333323E-2</v>
      </c>
      <c r="H66" s="4">
        <v>3.2031999999999998E-2</v>
      </c>
      <c r="I66" s="4">
        <v>3.2895000000000001E-2</v>
      </c>
      <c r="J66" s="4">
        <v>3.1784E-2</v>
      </c>
      <c r="K66" s="4">
        <v>3.2322999999999998E-2</v>
      </c>
      <c r="L66" s="4">
        <v>7.212811011116993E-2</v>
      </c>
      <c r="M66" s="4">
        <v>-3.4785558831915586E-2</v>
      </c>
      <c r="N66" s="4">
        <v>18.64</v>
      </c>
      <c r="O66" s="4">
        <v>7.3314475300700899E-4</v>
      </c>
      <c r="P66" s="4">
        <v>2.3984376439375898E-2</v>
      </c>
      <c r="Q66" s="4">
        <v>19.412299999999998</v>
      </c>
      <c r="R66" s="4">
        <v>2.012825E-2</v>
      </c>
      <c r="S66" s="4">
        <v>4.7919989999999996E-2</v>
      </c>
      <c r="T66" s="4">
        <v>5.760411240941643E-2</v>
      </c>
      <c r="U66" s="4">
        <v>100.8</v>
      </c>
      <c r="V66" s="5">
        <v>4.0999999999999995E-2</v>
      </c>
      <c r="W66" s="4">
        <v>272.35588000000001</v>
      </c>
      <c r="X66" s="4">
        <v>2674.31</v>
      </c>
      <c r="Y66" s="4">
        <v>833.68200000000002</v>
      </c>
      <c r="Z66" s="4">
        <v>324.04000000000002</v>
      </c>
      <c r="AA66" s="5">
        <v>3.6600000000000001E-2</v>
      </c>
      <c r="AB66" s="5">
        <v>4.58E-2</v>
      </c>
      <c r="AC66" s="5">
        <v>3.0699999999999998E-2</v>
      </c>
      <c r="AD66" s="5">
        <v>4.6900000000000004E-2</v>
      </c>
      <c r="AE66" s="5">
        <v>4.6699999999999998E-2</v>
      </c>
    </row>
    <row r="67" spans="1:31" x14ac:dyDescent="0.3">
      <c r="A67" s="3">
        <v>45565</v>
      </c>
      <c r="B67" s="4">
        <v>3.39E-2</v>
      </c>
      <c r="C67" s="4">
        <v>2.8159999999999998E-2</v>
      </c>
      <c r="D67" s="4">
        <v>2.8050000000000002E-2</v>
      </c>
      <c r="E67" s="4">
        <v>2.8849999999999997E-2</v>
      </c>
      <c r="F67" s="4">
        <v>2.9919999999999999E-2</v>
      </c>
      <c r="G67" s="4">
        <v>3.3783055555555545E-2</v>
      </c>
      <c r="H67" s="4">
        <v>3.0821000000000001E-2</v>
      </c>
      <c r="I67" s="4">
        <v>3.1192000000000001E-2</v>
      </c>
      <c r="J67" s="4">
        <v>3.2138E-2</v>
      </c>
      <c r="K67" s="4">
        <v>3.0937000000000003E-2</v>
      </c>
      <c r="L67" s="4">
        <v>0.10825055336608536</v>
      </c>
      <c r="M67" s="4">
        <v>-3.0303143614614614E-2</v>
      </c>
      <c r="N67" s="4">
        <v>18.03</v>
      </c>
      <c r="O67" s="4">
        <v>8.9745446288875819E-3</v>
      </c>
      <c r="P67" s="4">
        <v>2.171211565081177E-2</v>
      </c>
      <c r="Q67" s="4">
        <v>19.8675</v>
      </c>
      <c r="R67" s="4">
        <v>1.595038E-2</v>
      </c>
      <c r="S67" s="4">
        <v>4.4666129999999998E-2</v>
      </c>
      <c r="T67" s="4">
        <v>5.760411240941643E-2</v>
      </c>
      <c r="U67" s="4">
        <v>100</v>
      </c>
      <c r="V67" s="5">
        <v>4.0999999999999995E-2</v>
      </c>
      <c r="W67" s="4">
        <v>274.80014999999997</v>
      </c>
      <c r="X67" s="4">
        <v>2593.27</v>
      </c>
      <c r="Y67" s="4">
        <v>851.78300000000002</v>
      </c>
      <c r="Z67" s="4">
        <v>328.45</v>
      </c>
      <c r="AA67" s="5">
        <v>3.4500000000000003E-2</v>
      </c>
      <c r="AB67" s="5">
        <v>4.3299999999999998E-2</v>
      </c>
      <c r="AC67" s="5">
        <v>2.8799999999999999E-2</v>
      </c>
      <c r="AD67" s="5">
        <v>4.3799999999999999E-2</v>
      </c>
      <c r="AE67" s="5">
        <v>4.4500000000000005E-2</v>
      </c>
    </row>
    <row r="68" spans="1:31" x14ac:dyDescent="0.3">
      <c r="A68" s="3">
        <v>45596</v>
      </c>
      <c r="B68" s="4">
        <v>3.3700000000000001E-2</v>
      </c>
      <c r="C68" s="4">
        <v>2.8750000000000001E-2</v>
      </c>
      <c r="D68" s="4">
        <v>2.9300000000000003E-2</v>
      </c>
      <c r="E68" s="4">
        <v>2.9849999999999998E-2</v>
      </c>
      <c r="F68" s="4">
        <v>3.0950000000000002E-2</v>
      </c>
      <c r="G68" s="4">
        <v>3.3931111111111106E-2</v>
      </c>
      <c r="H68" s="4">
        <v>3.1507E-2</v>
      </c>
      <c r="I68" s="4">
        <v>3.2071000000000002E-2</v>
      </c>
      <c r="J68" s="4">
        <v>3.2031999999999998E-2</v>
      </c>
      <c r="K68" s="4">
        <v>3.2038000000000004E-2</v>
      </c>
      <c r="L68" s="4">
        <v>9.8707903031458377E-2</v>
      </c>
      <c r="M68" s="4">
        <v>-1.4313974248728378E-2</v>
      </c>
      <c r="N68" s="4">
        <v>17.760000000000002</v>
      </c>
      <c r="O68" s="4"/>
      <c r="P68" s="4">
        <v>-2.286967455326061E-2</v>
      </c>
      <c r="Q68" s="4">
        <v>19.727599999999999</v>
      </c>
      <c r="R68" s="4">
        <v>1.253642E-2</v>
      </c>
      <c r="S68" s="4">
        <v>4.5554899999999995E-2</v>
      </c>
      <c r="T68" s="4">
        <v>5.885614693416974E-2</v>
      </c>
      <c r="U68" s="4">
        <v>101.7</v>
      </c>
      <c r="V68" s="5">
        <v>0.04</v>
      </c>
      <c r="W68" s="4">
        <v>274.39028999999999</v>
      </c>
      <c r="X68" s="4">
        <v>2556.15</v>
      </c>
      <c r="Y68" s="4">
        <v>832.303</v>
      </c>
      <c r="Z68" s="4">
        <v>322.78500000000003</v>
      </c>
      <c r="AA68" s="5">
        <v>3.8399999999999997E-2</v>
      </c>
      <c r="AB68" s="5">
        <v>4.6600000000000003E-2</v>
      </c>
      <c r="AC68" s="5">
        <v>3.2599999999999997E-2</v>
      </c>
      <c r="AD68" s="5">
        <v>4.8000000000000001E-2</v>
      </c>
      <c r="AE68" s="5">
        <v>4.9500000000000002E-2</v>
      </c>
    </row>
    <row r="69" spans="1:31" x14ac:dyDescent="0.3">
      <c r="A69" s="3">
        <v>45626</v>
      </c>
      <c r="B69" s="4">
        <v>3.39E-2</v>
      </c>
      <c r="C69" s="4">
        <v>2.7619999999999999E-2</v>
      </c>
      <c r="D69" s="4">
        <v>2.6110000000000001E-2</v>
      </c>
      <c r="E69" s="4">
        <v>2.6520000000000002E-2</v>
      </c>
      <c r="F69" s="4">
        <v>2.76E-2</v>
      </c>
      <c r="G69" s="4">
        <v>3.4085555555555556E-2</v>
      </c>
      <c r="H69" s="4">
        <v>2.8965000000000001E-2</v>
      </c>
      <c r="I69" s="4">
        <v>2.9767000000000002E-2</v>
      </c>
      <c r="J69" s="4">
        <v>3.1877000000000003E-2</v>
      </c>
      <c r="K69" s="4">
        <v>2.9028999999999999E-2</v>
      </c>
      <c r="L69" s="4">
        <v>7.1000150931509909E-2</v>
      </c>
      <c r="M69" s="4">
        <v>-3.9215226023512018E-2</v>
      </c>
      <c r="N69" s="4">
        <v>17.14</v>
      </c>
      <c r="O69" s="4"/>
      <c r="P69" s="4">
        <v>3.6268041806890139E-2</v>
      </c>
      <c r="Q69" s="4">
        <v>20.572199999999999</v>
      </c>
      <c r="R69" s="4">
        <v>1.526447E-2</v>
      </c>
      <c r="S69" s="4">
        <v>4.6597359999999997E-2</v>
      </c>
      <c r="T69" s="4">
        <v>5.885614693416974E-2</v>
      </c>
      <c r="U69" s="4">
        <v>100.7</v>
      </c>
      <c r="V69" s="5">
        <v>4.0999999999999995E-2</v>
      </c>
      <c r="W69" s="4">
        <v>279.84699000000001</v>
      </c>
      <c r="X69" s="4">
        <v>2455.91</v>
      </c>
      <c r="Y69" s="4">
        <v>862.48900000000003</v>
      </c>
      <c r="Z69" s="4">
        <v>326.41300000000001</v>
      </c>
      <c r="AA69" s="5">
        <v>3.7400000000000003E-2</v>
      </c>
      <c r="AB69" s="5">
        <v>4.5400000000000003E-2</v>
      </c>
      <c r="AC69" s="5">
        <v>3.1699999999999999E-2</v>
      </c>
      <c r="AD69" s="5">
        <v>4.7599999999999996E-2</v>
      </c>
      <c r="AE69" s="5">
        <v>4.8499999999999995E-2</v>
      </c>
    </row>
    <row r="70" spans="1:31" x14ac:dyDescent="0.3">
      <c r="A70" s="3">
        <v>45657</v>
      </c>
      <c r="B70" s="4">
        <v>3.1800000000000002E-2</v>
      </c>
      <c r="C70" s="4">
        <v>2.7019999999999999E-2</v>
      </c>
      <c r="D70" s="4">
        <v>2.596E-2</v>
      </c>
      <c r="E70" s="4">
        <v>2.7650000000000001E-2</v>
      </c>
      <c r="F70" s="4">
        <v>2.8709999999999999E-2</v>
      </c>
      <c r="G70" s="4">
        <v>3.4256666666666657E-2</v>
      </c>
      <c r="H70" s="4">
        <v>2.9910000000000003E-2</v>
      </c>
      <c r="I70" s="4">
        <v>2.9948000000000002E-2</v>
      </c>
      <c r="J70" s="4">
        <v>3.1956999999999999E-2</v>
      </c>
      <c r="K70" s="4">
        <v>3.0019000000000001E-2</v>
      </c>
      <c r="L70" s="4">
        <v>2.1606025691078612E-2</v>
      </c>
      <c r="M70" s="4">
        <v>-2.2973154553709296E-2</v>
      </c>
      <c r="N70" s="4">
        <v>16.72</v>
      </c>
      <c r="O70" s="4"/>
      <c r="P70" s="4">
        <v>-2.4530167920982171E-2</v>
      </c>
      <c r="Q70" s="4">
        <v>20.195900000000002</v>
      </c>
      <c r="R70" s="4">
        <v>1.933824E-2</v>
      </c>
      <c r="S70" s="4">
        <v>4.684526E-2</v>
      </c>
      <c r="T70" s="4">
        <v>5.885614693416974E-2</v>
      </c>
      <c r="U70" s="4">
        <v>88.4</v>
      </c>
      <c r="V70" s="5">
        <v>3.7999999999999999E-2</v>
      </c>
      <c r="W70" s="4">
        <v>277.94519000000003</v>
      </c>
      <c r="X70" s="4">
        <v>2399.4899999999998</v>
      </c>
      <c r="Y70" s="4">
        <v>841.33199999999999</v>
      </c>
      <c r="Z70" s="4">
        <v>321.858</v>
      </c>
      <c r="AA70" s="5">
        <v>3.9800000000000002E-2</v>
      </c>
      <c r="AB70" s="5">
        <v>4.7800000000000002E-2</v>
      </c>
      <c r="AC70" s="5">
        <v>3.4000000000000002E-2</v>
      </c>
      <c r="AD70" s="5">
        <v>4.8499999999999995E-2</v>
      </c>
      <c r="AE70" s="5">
        <v>5.0999999999999997E-2</v>
      </c>
    </row>
    <row r="71" spans="1:31" x14ac:dyDescent="0.3">
      <c r="A71" s="3">
        <v>45688</v>
      </c>
      <c r="B71" s="4">
        <v>3.0600000000000002E-2</v>
      </c>
      <c r="C71" s="4">
        <v>2.6530000000000001E-2</v>
      </c>
      <c r="D71" s="4">
        <v>2.5699999999999997E-2</v>
      </c>
      <c r="E71" s="4">
        <v>2.7019999999999999E-2</v>
      </c>
      <c r="F71" s="4">
        <v>2.8570000000000002E-2</v>
      </c>
      <c r="G71" s="4">
        <v>3.4330833333333331E-2</v>
      </c>
      <c r="H71" s="4">
        <v>2.8504000000000002E-2</v>
      </c>
      <c r="I71" s="4">
        <v>2.8469999999999999E-2</v>
      </c>
      <c r="J71" s="4">
        <v>3.1602999999999999E-2</v>
      </c>
      <c r="K71" s="4">
        <v>2.8448999999999999E-2</v>
      </c>
      <c r="L71" s="4">
        <v>3.5521536730100278E-2</v>
      </c>
      <c r="M71" s="4">
        <v>4.9127106176729329E-2</v>
      </c>
      <c r="N71" s="4">
        <v>17.52</v>
      </c>
      <c r="O71" s="4"/>
      <c r="P71" s="4">
        <v>3.2933491178274377E-2</v>
      </c>
      <c r="Q71" s="4">
        <v>20.966699999999999</v>
      </c>
      <c r="R71" s="4">
        <v>2.244411E-2</v>
      </c>
      <c r="S71" s="4">
        <v>4.7204090000000004E-2</v>
      </c>
      <c r="T71" s="4">
        <v>6.3875404888089848E-2</v>
      </c>
      <c r="U71" s="4">
        <v>89.4</v>
      </c>
      <c r="V71" s="10">
        <f>AVERAGE(V68:V70)</f>
        <v>3.9666666666666663E-2</v>
      </c>
      <c r="W71" s="4">
        <v>280.24891000000002</v>
      </c>
      <c r="X71" s="4">
        <v>2517.37</v>
      </c>
      <c r="Y71" s="4">
        <v>869.04</v>
      </c>
      <c r="Z71" s="4">
        <v>323.87799999999999</v>
      </c>
      <c r="AA71" s="5">
        <v>4.0199999999999993E-2</v>
      </c>
      <c r="AB71" s="5">
        <v>4.7899999999999998E-2</v>
      </c>
      <c r="AC71" s="5">
        <v>3.4599999999999999E-2</v>
      </c>
      <c r="AD71" s="5">
        <v>4.7899999999999998E-2</v>
      </c>
      <c r="AE71" s="5">
        <v>5.0300000000000004E-2</v>
      </c>
    </row>
    <row r="72" spans="1:31" x14ac:dyDescent="0.3">
      <c r="A72" s="3">
        <v>45716</v>
      </c>
      <c r="B72" s="4">
        <v>2.98E-2</v>
      </c>
      <c r="C72" s="4">
        <v>2.6070000000000003E-2</v>
      </c>
      <c r="D72" s="4">
        <v>2.5600000000000001E-2</v>
      </c>
      <c r="E72" s="4">
        <v>2.6339999999999999E-2</v>
      </c>
      <c r="F72" s="4">
        <v>2.7000000000000003E-2</v>
      </c>
      <c r="G72" s="4">
        <v>3.4334999999999991E-2</v>
      </c>
      <c r="H72" s="4">
        <v>2.7635999999999997E-2</v>
      </c>
      <c r="I72" s="4">
        <v>2.8256999999999997E-2</v>
      </c>
      <c r="J72" s="4">
        <v>3.1440000000000003E-2</v>
      </c>
      <c r="K72" s="4">
        <v>2.8152E-2</v>
      </c>
      <c r="L72" s="4">
        <v>5.4301903913044791E-2</v>
      </c>
      <c r="M72" s="4">
        <v>6.1214680400578647E-3</v>
      </c>
      <c r="N72" s="4">
        <v>15.25</v>
      </c>
      <c r="O72" s="4"/>
      <c r="P72" s="4">
        <v>-7.0088833655528315E-3</v>
      </c>
      <c r="Q72" s="4">
        <v>18.639900000000001</v>
      </c>
      <c r="R72" s="4">
        <v>2.0214449999999998E-2</v>
      </c>
      <c r="S72" s="4">
        <v>4.4949469999999998E-2</v>
      </c>
      <c r="T72" s="4">
        <v>6.3875404888089848E-2</v>
      </c>
      <c r="U72" s="4">
        <v>90.4</v>
      </c>
      <c r="V72" s="10">
        <f>AVERAGE(V69:V71)</f>
        <v>3.9555555555555545E-2</v>
      </c>
      <c r="W72" s="4">
        <v>283.41755000000001</v>
      </c>
      <c r="X72" s="4">
        <v>2532.7800000000002</v>
      </c>
      <c r="Y72" s="4">
        <v>862.94899999999996</v>
      </c>
      <c r="Z72" s="4">
        <v>327.65699999999998</v>
      </c>
      <c r="AA72" s="5">
        <v>3.8100000000000002E-2</v>
      </c>
      <c r="AB72" s="5">
        <v>4.5700000000000005E-2</v>
      </c>
      <c r="AC72" s="5">
        <v>3.2799999999999996E-2</v>
      </c>
      <c r="AD72" s="5">
        <v>4.6100000000000002E-2</v>
      </c>
      <c r="AE72" s="5">
        <v>4.8000000000000001E-2</v>
      </c>
    </row>
    <row r="73" spans="1:31" x14ac:dyDescent="0.3">
      <c r="A73" s="3">
        <v>45747</v>
      </c>
      <c r="B73" s="4">
        <v>2.8900000000000002E-2</v>
      </c>
      <c r="C73" s="4">
        <v>2.6150000000000003E-2</v>
      </c>
      <c r="D73" s="4">
        <v>2.5600000000000001E-2</v>
      </c>
      <c r="E73" s="4">
        <v>2.6349999999999998E-2</v>
      </c>
      <c r="F73" s="4">
        <v>2.767E-2</v>
      </c>
      <c r="G73" s="4">
        <v>3.4279999999999998E-2</v>
      </c>
      <c r="H73" s="4">
        <v>2.7751999999999999E-2</v>
      </c>
      <c r="I73" s="4">
        <v>2.8271000000000001E-2</v>
      </c>
      <c r="J73" s="4">
        <v>3.2246000000000004E-2</v>
      </c>
      <c r="K73" s="4">
        <v>2.8242E-2</v>
      </c>
      <c r="L73" s="4">
        <v>3.9623470388244542E-2</v>
      </c>
      <c r="M73" s="4">
        <v>-2.0396560301329081E-2</v>
      </c>
      <c r="N73" s="4">
        <v>11.19</v>
      </c>
      <c r="O73" s="4"/>
      <c r="P73" s="4">
        <v>-4.1478696887069733E-2</v>
      </c>
      <c r="Q73" s="4">
        <v>17.863700000000001</v>
      </c>
      <c r="R73" s="4">
        <v>2.0535320000000003E-2</v>
      </c>
      <c r="S73" s="4">
        <v>4.2148770000000002E-2</v>
      </c>
      <c r="T73" s="4">
        <v>6.3875404888089848E-2</v>
      </c>
      <c r="U73" s="4">
        <v>90.4</v>
      </c>
      <c r="V73" s="10">
        <f>AVERAGE(V70:V72)</f>
        <v>3.9074074074074067E-2</v>
      </c>
      <c r="W73" s="4">
        <v>283.58508999999998</v>
      </c>
      <c r="X73" s="4">
        <v>2481.12</v>
      </c>
      <c r="Y73" s="4">
        <v>827.15499999999997</v>
      </c>
      <c r="Z73" s="4">
        <v>326.57900000000001</v>
      </c>
      <c r="AA73" s="5">
        <v>3.8599999999999995E-2</v>
      </c>
      <c r="AB73" s="5">
        <v>4.6300000000000001E-2</v>
      </c>
      <c r="AC73" s="5">
        <v>3.3300000000000003E-2</v>
      </c>
      <c r="AD73" s="5">
        <v>4.6100000000000002E-2</v>
      </c>
      <c r="AE73" s="5">
        <v>4.82E-2</v>
      </c>
    </row>
    <row r="74" spans="1:31" x14ac:dyDescent="0.3">
      <c r="A74" s="3">
        <v>45777</v>
      </c>
      <c r="B74" s="4">
        <v>2.7300000000000001E-2</v>
      </c>
      <c r="C74" s="4">
        <v>2.3769999999999999E-2</v>
      </c>
      <c r="D74" s="4">
        <v>2.2719999999999997E-2</v>
      </c>
      <c r="E74" s="4">
        <v>2.375E-2</v>
      </c>
      <c r="F74" s="4">
        <v>2.5699999999999997E-2</v>
      </c>
      <c r="G74" s="4">
        <v>3.4095277777777773E-2</v>
      </c>
      <c r="H74" s="4">
        <v>2.5574E-2</v>
      </c>
      <c r="I74" s="4">
        <v>2.5596000000000001E-2</v>
      </c>
      <c r="J74" s="4">
        <v>3.1966999999999995E-2</v>
      </c>
      <c r="K74" s="4">
        <v>2.5488E-2</v>
      </c>
      <c r="L74" s="4">
        <v>6.6834421150002266E-2</v>
      </c>
      <c r="M74" s="4">
        <v>3.0425775456245585E-2</v>
      </c>
      <c r="N74" s="4">
        <v>11.41</v>
      </c>
      <c r="O74" s="4"/>
      <c r="P74" s="4">
        <v>7.716812447485788E-3</v>
      </c>
      <c r="Q74" s="4">
        <v>18.109000000000002</v>
      </c>
      <c r="R74" s="4">
        <v>2.0787650000000001E-2</v>
      </c>
      <c r="S74" s="4">
        <v>4.154045E-2</v>
      </c>
      <c r="T74" s="4">
        <v>5.551985603420162E-2</v>
      </c>
      <c r="U74" s="4">
        <v>90.4</v>
      </c>
      <c r="V74" s="10">
        <f>AVERAGE(V71:V73)</f>
        <v>3.9432098765432091E-2</v>
      </c>
      <c r="W74" s="4">
        <v>287.01436000000001</v>
      </c>
      <c r="X74" s="4">
        <v>2556.61</v>
      </c>
      <c r="Y74" s="4">
        <v>833.53800000000001</v>
      </c>
      <c r="Z74" s="4">
        <v>329.846</v>
      </c>
      <c r="AA74" s="5">
        <v>3.7100000000000001E-2</v>
      </c>
      <c r="AB74" s="5">
        <v>4.5599999999999995E-2</v>
      </c>
      <c r="AC74" s="5">
        <v>3.1400000000000004E-2</v>
      </c>
      <c r="AD74" s="5">
        <v>4.5100000000000001E-2</v>
      </c>
      <c r="AE74" s="5">
        <v>4.7300000000000002E-2</v>
      </c>
    </row>
  </sheetData>
  <phoneticPr fontId="18" type="noConversion"/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Data_20240930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박병칠/연금솔루션부/한국투자증권</dc:creator>
  <cp:lastModifiedBy>김기흘/연금컨설팅부/한국투자증권/인터넷</cp:lastModifiedBy>
  <dcterms:created xsi:type="dcterms:W3CDTF">2023-09-27T04:44:34Z</dcterms:created>
  <dcterms:modified xsi:type="dcterms:W3CDTF">2025-09-17T01:09:39Z</dcterms:modified>
</cp:coreProperties>
</file>